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080" tabRatio="817" activeTab="9"/>
  </bookViews>
  <sheets>
    <sheet name="首页_总览" sheetId="1" r:id="rId1"/>
    <sheet name="每日计划" sheetId="2" r:id="rId2"/>
    <sheet name="周计划" sheetId="3" r:id="rId3"/>
    <sheet name="知识地图" sheetId="4" r:id="rId4"/>
    <sheet name="项目与毕业标准" sheetId="5" r:id="rId5"/>
    <sheet name="课程索引" sheetId="6" r:id="rId6"/>
    <sheet name="每日节奏" sheetId="7" r:id="rId7"/>
    <sheet name="求职与面试" sheetId="8" r:id="rId8"/>
    <sheet name="岗位需求依据" sheetId="9" r:id="rId9"/>
    <sheet name="V2_资源库" sheetId="10" r:id="rId10"/>
    <sheet name="V2_项目Review" sheetId="11" r:id="rId11"/>
    <sheet name="V2.1_八斗融合评估" sheetId="12" r:id="rId12"/>
    <sheet name="V2.1_项目映射" sheetId="13" r:id="rId13"/>
    <sheet name="V2.1_能力验收矩阵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<sst xmlns="http://schemas.openxmlformats.org/spreadsheetml/2006/main" count="2998" uniqueCount="1627">
  <si>
    <t>LLM 应用开发工程师 · 14周就业执行计划 V2.1</t>
  </si>
  <si>
    <t>目标：从“会跟课程做 Demo”升级为“能独立设计、编码、调试、评测、部署并通过面试”的 LLM Application Engineer。起始日：2026-09-24；98 天。V2.1 已融合八斗学院课程大纲中的高价值模块。</t>
  </si>
  <si>
    <t>周</t>
  </si>
  <si>
    <t>完成率</t>
  </si>
  <si>
    <t>V2.1 核心变化：吸收八斗的 Transformer/BERT 认知、ReAct、Memory、vLLM、FC/MCP/CLI、GraphRAG、故障转移等；继续保持“课程≤20% + 独立编码 + 实验 + 项目 + Code Review + 周测闯关”的主线。</t>
  </si>
  <si>
    <t>核心指标</t>
  </si>
  <si>
    <t>当前</t>
  </si>
  <si>
    <t>目标</t>
  </si>
  <si>
    <t>说明</t>
  </si>
  <si>
    <t>使用规则</t>
  </si>
  <si>
    <t>执行状态</t>
  </si>
  <si>
    <t>天数</t>
  </si>
  <si>
    <t>占比</t>
  </si>
  <si>
    <t>计划天数</t>
  </si>
  <si>
    <t>严格按每日计划执行</t>
  </si>
  <si>
    <t>1</t>
  </si>
  <si>
    <t>课程最多占20%，代码/项目占主导</t>
  </si>
  <si>
    <t/>
  </si>
  <si>
    <t>未开始</t>
  </si>
  <si>
    <t>计划有效学习时长</t>
  </si>
  <si>
    <t>工作日约8.5h，周日约7h</t>
  </si>
  <si>
    <t>2</t>
  </si>
  <si>
    <t>每个知识点必须通过：知道→能写→能解释→能排障</t>
  </si>
  <si>
    <t>进行中</t>
  </si>
  <si>
    <t>毕业项目</t>
  </si>
  <si>
    <t>2个核心项目+1个旗舰项目</t>
  </si>
  <si>
    <t>3</t>
  </si>
  <si>
    <t>第9周开始求职，不等全部学完</t>
  </si>
  <si>
    <t>完成</t>
  </si>
  <si>
    <t>4</t>
  </si>
  <si>
    <t>每周日做周测，不通过就回补</t>
  </si>
  <si>
    <t>延期</t>
  </si>
  <si>
    <t>5</t>
  </si>
  <si>
    <t>毕业标准看“能否独立完成/解释”，不是看视频进度</t>
  </si>
  <si>
    <t>14周阶段</t>
  </si>
  <si>
    <t>核心能力</t>
  </si>
  <si>
    <t>周交付物</t>
  </si>
  <si>
    <t>验收闸门</t>
  </si>
  <si>
    <t>课程</t>
  </si>
  <si>
    <t>状态</t>
  </si>
  <si>
    <t>Python 工程 + FastAPI + HTTP/SSE + pytest</t>
  </si>
  <si>
    <t>项目1 v0：LLM Chat API（FastAPI + SSE + Pydantic + pytest）</t>
  </si>
  <si>
    <t>不看视频，60–90分钟从空目录写出 /chat、/health、SSE、基础异常处理。</t>
  </si>
  <si>
    <t>C1/C2/C3</t>
  </si>
  <si>
    <t>LLM API + Prompt + Structured Output + Tool Calling 入门</t>
  </si>
  <si>
    <t>项目1 v1：AI 内容分析服务 + 原生 Tool Calling Loop</t>
  </si>
  <si>
    <t>能解释消息角色、token、temperature；能自己实现 JSON Schema 输出和工具调用循环。</t>
  </si>
  <si>
    <t>C1/C2/C4/C7</t>
  </si>
  <si>
    <t>文档 → Chunk → Embedding → 相似度 → TopK</t>
  </si>
  <si>
    <t>RAG Lab 1：纯 Python + Embedding API 的最小检索器</t>
  </si>
  <si>
    <t>能解释 cosine/dot product/TopK/Recall@K，并能故意构造 3 种召回失败案例。</t>
  </si>
  <si>
    <t>C1/C4/C7</t>
  </si>
  <si>
    <t>LangChain + Vector DB + Metadata + Retriever + BM25</t>
  </si>
  <si>
    <t>RAG Lab 2：可上传文档、metadata 过滤、dense + BM25</t>
  </si>
  <si>
    <t>能在 15 分钟画出完整 RAG 架构，并解释每一层为什么存在。</t>
  </si>
  <si>
    <t>C2/C4/C7</t>
  </si>
  <si>
    <t>Hybrid Search + Rerank + Query Rewrite + Citation + Evaluation</t>
  </si>
  <si>
    <t>RAG Eval v1：100 条评测集 + Recall/Precision/回答质量对比</t>
  </si>
  <si>
    <t>至少完成 3 轮实验并有可复现结果；能解释每次优化改变了什么。</t>
  </si>
  <si>
    <t>C1/C4/C6</t>
  </si>
  <si>
    <t>企业知识库：React + FastAPI + PostgreSQL/pgvector + Redis + RAG</t>
  </si>
  <si>
    <t>项目2 v1：企业知识库系统（上传/解析/检索/引用/Streaming）</t>
  </si>
  <si>
    <t>从空项目独立完成核心链路；Docker 能一键启动基础环境。</t>
  </si>
  <si>
    <t>C2/C6/C7</t>
  </si>
  <si>
    <t>Tool Calling + Workflow + State</t>
  </si>
  <si>
    <t>Agent Lab：天气/计算器/HTTP API/数据库查询 4 个工具</t>
  </si>
  <si>
    <t>能手写 tool-call loop；能解释 agent 与 workflow 的边界。</t>
  </si>
  <si>
    <t>State/Node/Edge/Conditional/Checkpoint/HITL</t>
  </si>
  <si>
    <t>项目3 v1：企业 AI 助手（RAG + DB Tool + API Tool + Workflow）</t>
  </si>
  <si>
    <t>能画状态图；能处理异常分支、重试和中断后恢复。</t>
  </si>
  <si>
    <t>C2/C4/C6</t>
  </si>
  <si>
    <t>MCP Server/Client + 工具暴露 + 简历第一版 + GitHub/作品集</t>
  </si>
  <si>
    <t>项目3 v2：自建 MCP Server；简历 v1；GitHub README/架构图</t>
  </si>
  <si>
    <t>至少 1 个 MCP Server 被 Agent 成功调用；完成第一批岗位定向投递。</t>
  </si>
  <si>
    <t>C6/C4/C3</t>
  </si>
  <si>
    <t>PostgreSQL + Redis + asyncio + Docker + 鉴权/限流/日志</t>
  </si>
  <si>
    <t>项目3 v3：鉴权/缓存/日志/异常/测试/Docker Compose</t>
  </si>
  <si>
    <t>能解释连接池、缓存、异步、幂等、限流；能独立定位一次接口故障。</t>
  </si>
  <si>
    <t>C2/C6/C3</t>
  </si>
  <si>
    <t>每日执行：看主线资源≤90min → 关教程空目录重写 → 实验/故障演练 → 合入项目 → 提交我做 Code Review → 修改重构 → 周测。</t>
  </si>
  <si>
    <t>离线评测 + 自动回归 + Trace + Token/Cost/Latency</t>
  </si>
  <si>
    <t>Evaluation/Observability 模块：dataset + metrics + trace + report</t>
  </si>
  <si>
    <t>修改 RAG 配置后能自动跑回归，并生成前后版本对比结果。</t>
  </si>
  <si>
    <t>C4/C6/C3</t>
  </si>
  <si>
    <t>Ollama + vLLM + OpenAI-compatible API + 模型解耦</t>
  </si>
  <si>
    <t>Model Gateway：至少两个模型后端可切换；本地模型服务跑通</t>
  </si>
  <si>
    <t>应用代码不绑定单一模型供应商；能解释 vLLM 的定位和基本部署方式。</t>
  </si>
  <si>
    <t>C4/C5/C6</t>
  </si>
  <si>
    <t>企业 AI 工作助手 0→1：需求/架构/实现/评测/部署/文档</t>
  </si>
  <si>
    <t>旗舰项目 RC：RAG + Agent + MCP + DB + Redis + Eval + Trace + Docker</t>
  </si>
  <si>
    <t>能从需求出发独立讲完整技术方案、权衡、故障案例和优化结果。</t>
  </si>
  <si>
    <t>C2/C4/C6/C3</t>
  </si>
  <si>
    <t>项目精修 + 面试 + 简历 + 投递 + 模拟面试</t>
  </si>
  <si>
    <t>简历 v2 + 项目演示 + 30题核心面试题 + 3轮模拟面试 + 定向投递</t>
  </si>
  <si>
    <t>能在 30 分钟内完整讲项目，并回答 Python/RAG/Agent/工程化追问。</t>
  </si>
  <si>
    <t>C3/C1/C4</t>
  </si>
  <si>
    <t>98天每日执行表 V2.1（每天打开这里执行；已加入八斗大纲融合任务）</t>
  </si>
  <si>
    <t>V2.1 八斗融合提醒</t>
  </si>
  <si>
    <t>Day</t>
  </si>
  <si>
    <t>日期</t>
  </si>
  <si>
    <t>星期</t>
  </si>
  <si>
    <t>阶段</t>
  </si>
  <si>
    <t>本周重点</t>
  </si>
  <si>
    <t>优先级</t>
  </si>
  <si>
    <t>今日必须完成</t>
  </si>
  <si>
    <t>今日产出</t>
  </si>
  <si>
    <t>课程索引</t>
  </si>
  <si>
    <t>验收标准</t>
  </si>
  <si>
    <t>计划小时</t>
  </si>
  <si>
    <t>实际记录/备注</t>
  </si>
  <si>
    <t>推荐资源ID</t>
  </si>
  <si>
    <t>主线学习资源</t>
  </si>
  <si>
    <t>学习链接</t>
  </si>
  <si>
    <t>本列只在相关 Day 强化八斗大纲中的高价值知识；没有内容的天保持主线。</t>
  </si>
  <si>
    <t>周四</t>
  </si>
  <si>
    <t>基础重建</t>
  </si>
  <si>
    <t>🔴</t>
  </si>
  <si>
    <t>Python 工程复盘：typing/dataclass/Pydantic/异常；建立 uv 项目骨架</t>
  </si>
  <si>
    <t>创建 pyproject、.env、logging、配置模块；提交 git</t>
  </si>
  <si>
    <t>C1/C2</t>
  </si>
  <si>
    <t>能空目录搭工程并解释每个目录</t>
  </si>
  <si>
    <t>R01/R03/R07/R08</t>
  </si>
  <si>
    <t>R01 · Python 官方 Tutorial</t>
  </si>
  <si>
    <t>https://docs.python.org/3/tutorial/</t>
  </si>
  <si>
    <t>周五</t>
  </si>
  <si>
    <t>HTTP/REST 基础：请求响应、状态码、JSON、SSE 概念</t>
  </si>
  <si>
    <t>写 /health、/echo、/chat 三个接口</t>
  </si>
  <si>
    <t>C2</t>
  </si>
  <si>
    <t>Postman/curl 可调用；错误码合理</t>
  </si>
  <si>
    <t>R02</t>
  </si>
  <si>
    <t>R02 · FastAPI 官方 Tutorial</t>
  </si>
  <si>
    <t>https://fastapi.tiangolo.com/tutorial/</t>
  </si>
  <si>
    <t>周六</t>
  </si>
  <si>
    <t>FastAPI：依赖注入、Pydantic schema、异常处理</t>
  </si>
  <si>
    <t>实现请求参数校验与统一异常响应</t>
  </si>
  <si>
    <t>C2/C3</t>
  </si>
  <si>
    <t>坏参数不会让服务崩；响应结构稳定</t>
  </si>
  <si>
    <t>R02/R03</t>
  </si>
  <si>
    <t>周日</t>
  </si>
  <si>
    <t>asyncio/httpx：async/await、并发请求、timeout</t>
  </si>
  <si>
    <t>实现异步模型客户端 + timeout/retry</t>
  </si>
  <si>
    <t>C1/C4</t>
  </si>
  <si>
    <t>连续请求 10 次无阻塞；能解释 await</t>
  </si>
  <si>
    <t>R04/R05</t>
  </si>
  <si>
    <t>R04 · Python asyncio 官方文档</t>
  </si>
  <si>
    <t>https://docs.python.org/3/library/asyncio.html</t>
  </si>
  <si>
    <t>周一</t>
  </si>
  <si>
    <t>SSE：StreamingResponse、断线、心跳</t>
  </si>
  <si>
    <t>实现模拟 token 流；浏览器/前端可消费</t>
  </si>
  <si>
    <t>可持续推送；客户端结束能释放资源</t>
  </si>
  <si>
    <t>周二</t>
  </si>
  <si>
    <t>pytest：单测、mock、API 测试</t>
  </si>
  <si>
    <t>覆盖 health/chat/schema/error 关键路径</t>
  </si>
  <si>
    <t>C3</t>
  </si>
  <si>
    <t>至少 10 个测试；pytest 全绿</t>
  </si>
  <si>
    <t>R06</t>
  </si>
  <si>
    <t>R06 · pytest 官方文档</t>
  </si>
  <si>
    <t>https://docs.pytest.org/en/stable/</t>
  </si>
  <si>
    <t>周三</t>
  </si>
  <si>
    <t>周测：不看课程从 0 重写 Chat API；总结 10 个坑</t>
  </si>
  <si>
    <t>提交 README + 架构图 + 复盘</t>
  </si>
  <si>
    <t>90 分钟完成核心版本；能口述架构</t>
  </si>
  <si>
    <t>R09</t>
  </si>
  <si>
    <t>R09 · DataTalksClub LLM Zoomcamp 2026</t>
  </si>
  <si>
    <t>https://courses.datatalks.club/llm-zoomcamp-2026/</t>
  </si>
  <si>
    <t>LLM 应用基础</t>
  </si>
  <si>
    <t>LLM API：system/user/assistant、temperature、max tokens</t>
  </si>
  <si>
    <t>原生 SDK 实现单轮/多轮对话</t>
  </si>
  <si>
    <t>能解释参数影响；支持历史消息</t>
  </si>
  <si>
    <t>R10</t>
  </si>
  <si>
    <t>R10 · OpenAI Cookbook</t>
  </si>
  <si>
    <t>https://cookbook.openai.com/</t>
  </si>
  <si>
    <t>Streaming 深入：chunk、累计、前端展示</t>
  </si>
  <si>
    <t>把真实模型流接入 FastAPI SSE</t>
  </si>
  <si>
    <t>首 token 与结束事件可记录</t>
  </si>
  <si>
    <t>R02/R10</t>
  </si>
  <si>
    <t>Structured Output：JSON Schema/Pydantic</t>
  </si>
  <si>
    <t>实现文本分类+抽取服务</t>
  </si>
  <si>
    <t>输出可解析；失败自动重试</t>
  </si>
  <si>
    <t>R03/R10</t>
  </si>
  <si>
    <t>R03 · Pydantic 官方文档</t>
  </si>
  <si>
    <t>https://docs.pydantic.dev/latest/</t>
  </si>
  <si>
    <t>Prompt：任务拆解、约束、Few-shot、上下文组织</t>
  </si>
  <si>
    <t>建立 prompt 模板与版本记录</t>
  </si>
  <si>
    <t>C1/C3</t>
  </si>
  <si>
    <t>同一任务多版本对比并记录差异</t>
  </si>
  <si>
    <t>Tool Calling：tool schema、arguments、tool result</t>
  </si>
  <si>
    <t>实现 calculator/weather 两个工具</t>
  </si>
  <si>
    <t>C4/C6</t>
  </si>
  <si>
    <t>能完成一次完整 tool-call loop</t>
  </si>
  <si>
    <t>Tool Calling 可靠性：参数校验、超时、重试、拒答</t>
  </si>
  <si>
    <t>加入错误分支和工具白名单</t>
  </si>
  <si>
    <t>恶意/错误参数不会直接执行</t>
  </si>
  <si>
    <t>R10/R25</t>
  </si>
  <si>
    <t>周测：脱离 LangChain 写 Chat + JSON + Tool Calling</t>
  </si>
  <si>
    <t>录制 5 分钟讲解并提交代码</t>
  </si>
  <si>
    <t>面试官追问底层时能答</t>
  </si>
  <si>
    <t>R09/R10</t>
  </si>
  <si>
    <t>RAG 原理</t>
  </si>
  <si>
    <t>Embedding：token→vector；BGE/BGE-M3 基本用法</t>
  </si>
  <si>
    <t>做 20 句文本 embedding 实验</t>
  </si>
  <si>
    <t>观察维度、归一化、相似度</t>
  </si>
  <si>
    <t>R13/R12</t>
  </si>
  <si>
    <t>R13 · FlagEmbedding / BGE</t>
  </si>
  <si>
    <t>https://github.com/FlagOpen/FlagEmbedding</t>
  </si>
  <si>
    <t>八斗：Embedding / Pooling / Norm；补充“为什么 embedding 能表达语义”的解释。</t>
  </si>
  <si>
    <t>相似度：cosine/dot product/L2</t>
  </si>
  <si>
    <t>手写 top-k 相似度搜索</t>
  </si>
  <si>
    <t>C4/C7</t>
  </si>
  <si>
    <t>能解释归一化后 dot 的关系</t>
  </si>
  <si>
    <t>R12</t>
  </si>
  <si>
    <t>R12 · Sentence Transformers Semantic Search</t>
  </si>
  <si>
    <t>https://www.sbert.net/examples/sentence_transformer/applications/semantic-search/README.html</t>
  </si>
  <si>
    <t>八斗：Sentence-BERT / FAISS 认知；理解向量检索为何可做近邻搜索。</t>
  </si>
  <si>
    <t>Chunk：固定长度、overlap、按语义/标题切</t>
  </si>
  <si>
    <t>准备 3 种 chunk 策略并跑同一评测集</t>
  </si>
  <si>
    <t>记录 chunk 对召回的影响</t>
  </si>
  <si>
    <t>R11/R13</t>
  </si>
  <si>
    <t>R11 · LangChain RAG from Scratch</t>
  </si>
  <si>
    <t>https://github.com/langchain-ai/rag-from-scratch</t>
  </si>
  <si>
    <t>八斗：语义分块与 NLP 文本结构；记录不同 chunk 策略的 trade-off。</t>
  </si>
  <si>
    <t>Retriever：TopK、召回候选与上下文</t>
  </si>
  <si>
    <t>实现基础检索器 + metadata</t>
  </si>
  <si>
    <t>C2/C7</t>
  </si>
  <si>
    <t>能查到来源文档位置</t>
  </si>
  <si>
    <t>R11/R14</t>
  </si>
  <si>
    <t>RAG Prompt：context 注入、引用、拒答</t>
  </si>
  <si>
    <t>实现最小 RAG QA</t>
  </si>
  <si>
    <t>不知道答案时不胡编；带引用</t>
  </si>
  <si>
    <t>R11</t>
  </si>
  <si>
    <t>RAG Failure Lab：故意制造错召回</t>
  </si>
  <si>
    <t>记录至少 3 个失败案例和原因</t>
  </si>
  <si>
    <t>C4</t>
  </si>
  <si>
    <t>能从数据/切片/embedding/topK 排查</t>
  </si>
  <si>
    <t>八斗：RAG 失败分析思维；用“检索错/排序错/生成错”三分法定位问题。</t>
  </si>
  <si>
    <t>周测：从文档到答案完全重写最小 RAG</t>
  </si>
  <si>
    <t>不看教程完成；写设计说明</t>
  </si>
  <si>
    <t>60–120 分钟跑通</t>
  </si>
  <si>
    <t>R09/R11</t>
  </si>
  <si>
    <t>RAG 工程</t>
  </si>
  <si>
    <t>LangChain 核心：Runnable、|、Parallel、Passthrough</t>
  </si>
  <si>
    <t>把手写链迁移到 LangChain</t>
  </si>
  <si>
    <t>能解释抽象而非背代码</t>
  </si>
  <si>
    <t>八斗：知识点迁移；把 LangChain 抽象和底层 Python 逻辑对应起来。</t>
  </si>
  <si>
    <t>Vector DB：collection、index、metadata filter</t>
  </si>
  <si>
    <t>选一个向量库完成 CRUD + search</t>
  </si>
  <si>
    <t>能解释 schema 与过滤</t>
  </si>
  <si>
    <t>R14</t>
  </si>
  <si>
    <t>R14 · pgvector</t>
  </si>
  <si>
    <t>https://github.com/pgvector/pgvector</t>
  </si>
  <si>
    <t>Document Loader/Parser：PDF/Word/网页/纯文本</t>
  </si>
  <si>
    <t>做统一文档 ingestion 接口</t>
  </si>
  <si>
    <t>C2/C6</t>
  </si>
  <si>
    <t>至少支持 PDF + txt/docx 中 2 类</t>
  </si>
  <si>
    <t>R27</t>
  </si>
  <si>
    <t>R27 · Unstructured OSS Docs</t>
  </si>
  <si>
    <t>https://docs.unstructured.io/open-source/introduction/overview</t>
  </si>
  <si>
    <t>Metadata：来源、页码、标题、权限</t>
  </si>
  <si>
    <t>在 chunk 上附 metadata</t>
  </si>
  <si>
    <t>检索结果能追溯原文</t>
  </si>
  <si>
    <t>R14/R27</t>
  </si>
  <si>
    <t>BM25：关键词检索 + dense retrieval</t>
  </si>
  <si>
    <t>实现/接入 BM25，比较两种召回</t>
  </si>
  <si>
    <t>给出 5 个适合 BM25 的问题</t>
  </si>
  <si>
    <t>R28</t>
  </si>
  <si>
    <t>R28 · rank_bm25</t>
  </si>
  <si>
    <t>https://github.com/dorianbrown/rank_bm25</t>
  </si>
  <si>
    <t>八斗：BM25 + dense retrieval；理解关键词检索与语义检索的互补。</t>
  </si>
  <si>
    <t>Hybrid Search：融合策略</t>
  </si>
  <si>
    <t>实现 dense+BM25 融合 baseline</t>
  </si>
  <si>
    <t>评测集上可对比前后效果</t>
  </si>
  <si>
    <t>R11/R28</t>
  </si>
  <si>
    <t>周测：画出并讲清 RAG 全链路</t>
  </si>
  <si>
    <t>15 分钟白板讲解 + 10 道追问</t>
  </si>
  <si>
    <t>C3/C4</t>
  </si>
  <si>
    <t>至少 8/10 能回答</t>
  </si>
  <si>
    <t>RAG 优化</t>
  </si>
  <si>
    <t>Rerank 原理与接入：候选集→重排→TopN</t>
  </si>
  <si>
    <t>加入 reranker 实验</t>
  </si>
  <si>
    <t>能解释为何不是直接 TopN vector</t>
  </si>
  <si>
    <t>R13/R11</t>
  </si>
  <si>
    <t>八斗：CrossEncoder / Rerank；理解二阶段检索为什么存在。</t>
  </si>
  <si>
    <t>Query Rewrite：上下文补全、拆问题、多查询</t>
  </si>
  <si>
    <t>对多轮问题做 rewrite</t>
  </si>
  <si>
    <t>解决 5 个上下文省略问题</t>
  </si>
  <si>
    <t>Metadata/权限过滤：用户/部门/文档类型</t>
  </si>
  <si>
    <t>在检索前后加入权限过滤</t>
  </si>
  <si>
    <t>不会把无权限内容返回</t>
  </si>
  <si>
    <t>R25/R14</t>
  </si>
  <si>
    <t>R25 · OWASP Top 10 for LLM Applications</t>
  </si>
  <si>
    <t>https://owasp.org/www-project-top-10-for-large-language-model-applications/</t>
  </si>
  <si>
    <t>Context Compression：去冗余、窗口控制</t>
  </si>
  <si>
    <t>实现简单压缩/去重策略</t>
  </si>
  <si>
    <t>Context token 降低且答案不恶化</t>
  </si>
  <si>
    <t>Citation/grounding：引用位置与证据链</t>
  </si>
  <si>
    <t>实现前端引用展示数据结构</t>
  </si>
  <si>
    <t>每个答案引用至少 1 个证据</t>
  </si>
  <si>
    <t>Evaluation：构造 100 条问题+标准答案</t>
  </si>
  <si>
    <t>计算 Recall@K/Precision 等基础指标</t>
  </si>
  <si>
    <t>一键生成 JSON/CSV 报告</t>
  </si>
  <si>
    <t>R22/R21</t>
  </si>
  <si>
    <t>R22 · Ragas</t>
  </si>
  <si>
    <t>https://docs.ragas.io/</t>
  </si>
  <si>
    <t>周测：三轮实验 + RAG 失败分析报告</t>
  </si>
  <si>
    <t>Baseline→Hybrid→Rerank 三版本对比</t>
  </si>
  <si>
    <t>能明确说出优化收益和代价</t>
  </si>
  <si>
    <t>R21/R22</t>
  </si>
  <si>
    <t>R21 · DeepLearning.AI · Evaluating AI Agents</t>
  </si>
  <si>
    <t>https://www.deeplearning.ai/short-courses/evaluating-ai-agents/</t>
  </si>
  <si>
    <t>八斗：RAG 评测；用数据证明优化，而不是凭感觉。</t>
  </si>
  <si>
    <t>完整项目1</t>
  </si>
  <si>
    <t>项目2 需求：用户/知识库/文档/会话/引用模型设计</t>
  </si>
  <si>
    <t>画 DB schema + API 清单</t>
  </si>
  <si>
    <t>表结构/API 可评审</t>
  </si>
  <si>
    <t>R15/R14</t>
  </si>
  <si>
    <t>R15 · PostgreSQL Tutorial</t>
  </si>
  <si>
    <t>https://www.postgresql.org/docs/current/tutorial.html</t>
  </si>
  <si>
    <t>项目2 后端骨架：FastAPI + PostgreSQL + Redis</t>
  </si>
  <si>
    <t>完成 auth/session/doc 基础模块</t>
  </si>
  <si>
    <t>服务可启动；迁移可执行</t>
  </si>
  <si>
    <t>R02/R15/R16</t>
  </si>
  <si>
    <t>项目2 ingestion：上传、解析、chunk、embedding</t>
  </si>
  <si>
    <t>跑通异步入库流程</t>
  </si>
  <si>
    <t>文档处理失败可重试/记录</t>
  </si>
  <si>
    <t>R27/R13</t>
  </si>
  <si>
    <t>项目2 retrieval：vector + metadata + hybrid</t>
  </si>
  <si>
    <t>实现检索 API</t>
  </si>
  <si>
    <t>有 query/filters/topK 参数</t>
  </si>
  <si>
    <t>R14/R11</t>
  </si>
  <si>
    <t>项目2 chat：RAG + SSE + citation</t>
  </si>
  <si>
    <t>接通问答接口</t>
  </si>
  <si>
    <t>前端可流式展示并带引用</t>
  </si>
  <si>
    <t>R02/R11</t>
  </si>
  <si>
    <t>项目2 前端：上传/知识库/聊天/引用</t>
  </si>
  <si>
    <t>完成 React 页面与错误状态</t>
  </si>
  <si>
    <t>完整演示流程跑通</t>
  </si>
  <si>
    <t>R29</t>
  </si>
  <si>
    <t>R29 · React Learn</t>
  </si>
  <si>
    <t>https://react.dev/learn</t>
  </si>
  <si>
    <t>项目2 v1 验收：从 0 安装运行 + Demo</t>
  </si>
  <si>
    <t>补 README、截图、架构图、测试</t>
  </si>
  <si>
    <t>别人照 README 能跑起来</t>
  </si>
  <si>
    <t>R17/R09</t>
  </si>
  <si>
    <t>R17 · Docker Get Started</t>
  </si>
  <si>
    <t>https://docs.docker.com/get-started/</t>
  </si>
  <si>
    <t>Agent 基础</t>
  </si>
  <si>
    <t>Tool Calling 深入：schema、tool registry、tool executor</t>
  </si>
  <si>
    <t>重构工具注册与执行层</t>
  </si>
  <si>
    <t>工具可插拔；有统一接口</t>
  </si>
  <si>
    <t>八斗：Function Calling / CLI / MCP 三种工具接入方式先做概念对照。</t>
  </si>
  <si>
    <t>工具：HTTP API + calculator + weather</t>
  </si>
  <si>
    <t>实现 3 个可靠工具</t>
  </si>
  <si>
    <t>C6</t>
  </si>
  <si>
    <t>每个工具有 schema/test</t>
  </si>
  <si>
    <t>R10/R18</t>
  </si>
  <si>
    <t>🟠</t>
  </si>
  <si>
    <t>数据库 Tool：自然语言→受控 SQL/参数</t>
  </si>
  <si>
    <t>加入只读 SQL 工具</t>
  </si>
  <si>
    <t>只允许白名单表/字段</t>
  </si>
  <si>
    <t>R15/R25</t>
  </si>
  <si>
    <t>Agent Loop：reason→tool→observation→answer</t>
  </si>
  <si>
    <t>手写 loop + 最大步数</t>
  </si>
  <si>
    <t>能解释终止条件</t>
  </si>
  <si>
    <t>R18</t>
  </si>
  <si>
    <t>R18 · Hugging Face Agents Course</t>
  </si>
  <si>
    <t>https://huggingface.co/learn/agents-course</t>
  </si>
  <si>
    <t>八斗：ReAct Agent；明确 Reason → Action → Observation → Final 的循环。</t>
  </si>
  <si>
    <t>Workflow：固定流程 vs Agent 决策</t>
  </si>
  <si>
    <t>把一个任务改成 workflow</t>
  </si>
  <si>
    <t>能解释何时不用 Agent</t>
  </si>
  <si>
    <t>八斗：ReAct vs Workflow；训练“什么时候不要 Agent”。</t>
  </si>
  <si>
    <t>失败处理：重试/超时/回退/人工确认</t>
  </si>
  <si>
    <t>增加安全阈值和人工确认点</t>
  </si>
  <si>
    <t>危险工具必须人工确认</t>
  </si>
  <si>
    <t>R18/R20</t>
  </si>
  <si>
    <t>八斗：Agent 故障处理；补 Retry / Timeout / Fallback / 人工确认。</t>
  </si>
  <si>
    <t>周测：白板设计企业助手 Agent</t>
  </si>
  <si>
    <t>手写最小 Agent + 讲架构</t>
  </si>
  <si>
    <t>30 分钟内完成设计</t>
  </si>
  <si>
    <t>LangGraph</t>
  </si>
  <si>
    <t>LangGraph State/Node/Edge</t>
  </si>
  <si>
    <t>实现最小图：router→retrieve/tool→answer</t>
  </si>
  <si>
    <t>能说清 state 如何传递</t>
  </si>
  <si>
    <t>R19</t>
  </si>
  <si>
    <t>R19 · LangChain Academy</t>
  </si>
  <si>
    <t>https://academy.langchain.com/</t>
  </si>
  <si>
    <t>Conditional Edge：意图路由</t>
  </si>
  <si>
    <t>实现知识问题/数据问题分流</t>
  </si>
  <si>
    <t>分流可测试且可追踪</t>
  </si>
  <si>
    <t>Checkpoint/Persistence：会话状态</t>
  </si>
  <si>
    <t>加入数据库/内存 checkpoint</t>
  </si>
  <si>
    <t>中断后能恢复</t>
  </si>
  <si>
    <t>八斗：四层记忆模型；区分短期上下文、会话记忆、长期记忆、知识检索。</t>
  </si>
  <si>
    <t>HITL：工具执行前人工确认</t>
  </si>
  <si>
    <t>加入 approve/reject 分支</t>
  </si>
  <si>
    <t>危险操作有人工门</t>
  </si>
  <si>
    <t>八斗：记忆压缩与 HITL；理解为什么不能无限塞历史消息。</t>
  </si>
  <si>
    <t>项目3 原型：RAG + DB Tool + API Tool</t>
  </si>
  <si>
    <t>完成主流程</t>
  </si>
  <si>
    <t>3 类问题都能跑通</t>
  </si>
  <si>
    <t>R19/R11</t>
  </si>
  <si>
    <t>项目3 前端联调：SSE、状态、tool trace</t>
  </si>
  <si>
    <t>做 Agent 执行状态展示</t>
  </si>
  <si>
    <t>用户能看到步骤/错误</t>
  </si>
  <si>
    <t>R19/R29</t>
  </si>
  <si>
    <t>周测：从 0 写一个 LangGraph workflow</t>
  </si>
  <si>
    <t>限制 2 小时，禁止复制</t>
  </si>
  <si>
    <t>可运行 + 有 README</t>
  </si>
  <si>
    <t>MCP + 求职启动</t>
  </si>
  <si>
    <t>MCP 概念：client/server/tools/resources/prompts</t>
  </si>
  <si>
    <t>画 MCP 数据流与边界</t>
  </si>
  <si>
    <t>能解释 MCP 解决什么问题</t>
  </si>
  <si>
    <t>R20</t>
  </si>
  <si>
    <t>R20 · Model Context Protocol 官方 Introduction</t>
  </si>
  <si>
    <t>https://modelcontextprotocol.io/introduction</t>
  </si>
  <si>
    <t>八斗：MCP Client/Server、Tools/Resources/Prompts 边界。</t>
  </si>
  <si>
    <t>实现 MCP Server：search/get_data</t>
  </si>
  <si>
    <t>自建 server 暴露 2 个工具</t>
  </si>
  <si>
    <t>Agent 可发现并调用</t>
  </si>
  <si>
    <t>MCP 安全：权限、输入校验、超时</t>
  </si>
  <si>
    <t>为工具加入白名单与日志</t>
  </si>
  <si>
    <t>非法调用被拒绝</t>
  </si>
  <si>
    <t>R20/R25</t>
  </si>
  <si>
    <t>项目3 接入 MCP：把一个现有 Tool 改成 MCP</t>
  </si>
  <si>
    <t>对比 native tool vs MCP</t>
  </si>
  <si>
    <t>能解释选择差异</t>
  </si>
  <si>
    <t>R20/R19</t>
  </si>
  <si>
    <t>八斗：FC → MCP 迁移实验；比较开发与复用成本。</t>
  </si>
  <si>
    <t>简历 v1：技术栈、3项目、量化结果</t>
  </si>
  <si>
    <t>完成一页简历 + GitHub pinned repos</t>
  </si>
  <si>
    <t>每个项目都有 3–5 个技术亮点</t>
  </si>
  <si>
    <t>R08/R30</t>
  </si>
  <si>
    <t>R08 · Pro Git</t>
  </si>
  <si>
    <t>https://git-scm.com/book/en/v2</t>
  </si>
  <si>
    <t>作品集：README/架构图/演示 GIF/部署说明</t>
  </si>
  <si>
    <t>完成项目展示页</t>
  </si>
  <si>
    <t>陌生人 5 分钟看懂项目</t>
  </si>
  <si>
    <t>R30</t>
  </si>
  <si>
    <t>R30 · GitHub Docs · Hello World / Projects</t>
  </si>
  <si>
    <t>https://docs.github.com/en/get-started/start-your-journey/hello-world</t>
  </si>
  <si>
    <t>求职启动：筛 20 个岗位，建立投递表</t>
  </si>
  <si>
    <t>完成第一批定向投递 + 记录JD</t>
  </si>
  <si>
    <t>每个岗位标注匹配/缺口</t>
  </si>
  <si>
    <t>工程化</t>
  </si>
  <si>
    <t>PostgreSQL：SQL/索引/事务/连接池</t>
  </si>
  <si>
    <t>优化项目查询并补索引</t>
  </si>
  <si>
    <t>能解释一个索引选择</t>
  </si>
  <si>
    <t>R15</t>
  </si>
  <si>
    <t>八斗：工程稳定性；对应 API 故障转移与健康检测项目。</t>
  </si>
  <si>
    <t>Redis：cache/session/rate limit</t>
  </si>
  <si>
    <t>加入缓存与会话存储</t>
  </si>
  <si>
    <t>能测命中/未命中</t>
  </si>
  <si>
    <t>R16</t>
  </si>
  <si>
    <t>R16 · Redis Get Started</t>
  </si>
  <si>
    <t>https://redis.io/docs/latest/develop/get-started/</t>
  </si>
  <si>
    <t>async：并发模型、连接池、任务边界</t>
  </si>
  <si>
    <t>把阻塞调用替换为 async client/线程池</t>
  </si>
  <si>
    <t>能解释阻塞风险</t>
  </si>
  <si>
    <t>Docker：Dockerfile + compose</t>
  </si>
  <si>
    <t>容器化 API/DB/Redis</t>
  </si>
  <si>
    <t>docker compose up 可运行</t>
  </si>
  <si>
    <t>R17</t>
  </si>
  <si>
    <t>鉴权/限流/幂等/日志</t>
  </si>
  <si>
    <t>加入 JWT/简单限流/trace id</t>
  </si>
  <si>
    <t>C3/C6</t>
  </si>
  <si>
    <t>请求可追踪；重复请求可控</t>
  </si>
  <si>
    <t>R25/R16</t>
  </si>
  <si>
    <t>线上故障演练：超时/模型报错/Redis故障</t>
  </si>
  <si>
    <t>模拟并写 runbook</t>
  </si>
  <si>
    <t>至少 3 种故障有处理路径</t>
  </si>
  <si>
    <t>八斗：断路器/故障转移/健康探针；做 Failure Injection。</t>
  </si>
  <si>
    <t>周测：代码 review + 工程化重构</t>
  </si>
  <si>
    <t>像高级工程师一样 review 自己代码</t>
  </si>
  <si>
    <t>列出并修复 10 个问题</t>
  </si>
  <si>
    <t>R07/R17</t>
  </si>
  <si>
    <t>R07 · MIT Missing Semester</t>
  </si>
  <si>
    <t>https://missing.csail.mit.edu/</t>
  </si>
  <si>
    <t>Evaluation + Observability</t>
  </si>
  <si>
    <t>Evaluation dataset：数据格式、标签、版本</t>
  </si>
  <si>
    <t>整理 200–300 条核心评测集</t>
  </si>
  <si>
    <t>数据可版本化</t>
  </si>
  <si>
    <t>Retrieval metrics：Recall/Precision/Hit@K</t>
  </si>
  <si>
    <t>实现自动计算</t>
  </si>
  <si>
    <t>报告有 TopK 对比</t>
  </si>
  <si>
    <t>R22</t>
  </si>
  <si>
    <t>Generation metrics：groundedness/relevance/correctness</t>
  </si>
  <si>
    <t>接入或实现评测流程</t>
  </si>
  <si>
    <t>至少 3 个维度</t>
  </si>
  <si>
    <t>LLM-as-Judge：提示词、偏差、抽样人工校验</t>
  </si>
  <si>
    <t>做 judge+human 对照</t>
  </si>
  <si>
    <t>知道 judge 不是绝对真值</t>
  </si>
  <si>
    <t>R21</t>
  </si>
  <si>
    <t>Regression：配置变更自动评测</t>
  </si>
  <si>
    <t>git/脚本一键跑 baseline vs current</t>
  </si>
  <si>
    <t>有失败阈值</t>
  </si>
  <si>
    <t>Observability：trace/latency/token/cost/error</t>
  </si>
  <si>
    <t>给 Agent 链路加 tracing</t>
  </si>
  <si>
    <t>能定位慢/贵/错在哪一步</t>
  </si>
  <si>
    <t>周测：做一次真实回归发布</t>
  </si>
  <si>
    <t>改 chunk/topK/rerank 中任意一项并评测</t>
  </si>
  <si>
    <t>有结果表和结论</t>
  </si>
  <si>
    <t>八斗：RAGAS/评测闭环；生成一次可追踪的版本回归报告。</t>
  </si>
  <si>
    <t>模型服务</t>
  </si>
  <si>
    <t>Ollama：本地模型运行、模型目录、API</t>
  </si>
  <si>
    <t>跑一个本地模型并调用</t>
  </si>
  <si>
    <t>应用通过 OpenAI-compatible API 调用</t>
  </si>
  <si>
    <t>R23</t>
  </si>
  <si>
    <t>R23 · Ollama</t>
  </si>
  <si>
    <t>https://docs.ollama.com/</t>
  </si>
  <si>
    <t>vLLM：定位、启动、OpenAI-compatible API</t>
  </si>
  <si>
    <t>在可用环境体验服务</t>
  </si>
  <si>
    <t>能解释 vLLM vs Ollama</t>
  </si>
  <si>
    <t>R24</t>
  </si>
  <si>
    <t>R24 · vLLM</t>
  </si>
  <si>
    <t>https://docs.vllm.ai/en/latest/</t>
  </si>
  <si>
    <t>八斗：vLLM / PagedAttention / KV Cache；先理解机制再部署。</t>
  </si>
  <si>
    <t>Model Gateway：统一 model provider interface</t>
  </si>
  <si>
    <t>实现 open/local 两后端</t>
  </si>
  <si>
    <t>切换模型不改业务代码</t>
  </si>
  <si>
    <t>Prompt/model 参数抽象：temperature/max_tokens/timeout</t>
  </si>
  <si>
    <t>统一配置层</t>
  </si>
  <si>
    <t>可按环境配置</t>
  </si>
  <si>
    <t>R23/R24</t>
  </si>
  <si>
    <t>性能基础：batch、并发、TTFT/TPOT 概念</t>
  </si>
  <si>
    <t>做简单压测记录</t>
  </si>
  <si>
    <t>能解释主要延迟组成</t>
  </si>
  <si>
    <t>八斗：推理服务性能；关注并发、TTFT、TPOT、batch 等概念。</t>
  </si>
  <si>
    <t>部署文档：云/本地启动方式</t>
  </si>
  <si>
    <t>完善 README + env.example</t>
  </si>
  <si>
    <t>陌生环境可复现</t>
  </si>
  <si>
    <t>R24/R23</t>
  </si>
  <si>
    <t>周测：模型切换演示 + 面试题</t>
  </si>
  <si>
    <t>5分钟演示 + 10题口答</t>
  </si>
  <si>
    <t>能回答模型服务相关追问</t>
  </si>
  <si>
    <t>终极项目</t>
  </si>
  <si>
    <t>旗舰项目需求冻结：用户、知识库、Agent、Tool、权限、评测</t>
  </si>
  <si>
    <t>写 PRD + scope，停止加无关功能</t>
  </si>
  <si>
    <t>功能边界明确</t>
  </si>
  <si>
    <t>R25</t>
  </si>
  <si>
    <t>旗舰项目架构：服务、数据、模型、检索、Agent</t>
  </si>
  <si>
    <t>更新架构图/时序图</t>
  </si>
  <si>
    <t>能解释关键 trade-off</t>
  </si>
  <si>
    <t>R19/R20</t>
  </si>
  <si>
    <t>核心链路硬化：重试、超时、幂等、fallback</t>
  </si>
  <si>
    <t>补齐高风险路径</t>
  </si>
  <si>
    <t>关键失败有 fallback</t>
  </si>
  <si>
    <t>安全：prompt injection、工具权限、敏感数据、审计</t>
  </si>
  <si>
    <t>增加基础防护与 audit log</t>
  </si>
  <si>
    <t>C6/C3</t>
  </si>
  <si>
    <t>至少完成 4 项安全措施</t>
  </si>
  <si>
    <t>八斗：Agent 安全与权限；工具白名单、参数校验、审计。</t>
  </si>
  <si>
    <t>旗舰项目评测与优化：选一个明显短板</t>
  </si>
  <si>
    <t>实验 2–3 轮并留存结果</t>
  </si>
  <si>
    <t>README 有数据证明优化</t>
  </si>
  <si>
    <t>八斗：GraphRAG 作为高级选项；只做小实验，不挤占核心项目时间。</t>
  </si>
  <si>
    <t>旗舰项目部署：Docker + demo + test</t>
  </si>
  <si>
    <t>最终 RC 发布</t>
  </si>
  <si>
    <t>一键启动/测试/演示</t>
  </si>
  <si>
    <t>R17/R24</t>
  </si>
  <si>
    <t>旗舰项目答辩：30分钟完整讲解 + 20问</t>
  </si>
  <si>
    <t>录音复盘，修补薄弱点</t>
  </si>
  <si>
    <t>连续讲清楚且不依赖代码提示</t>
  </si>
  <si>
    <t>R18/R19/R20</t>
  </si>
  <si>
    <t>八斗：自进化/Skill Agent 只做架构理解，不要求研究深度。</t>
  </si>
  <si>
    <t>求职冲刺</t>
  </si>
  <si>
    <t>Python 面试：语言/async/FastAPI/DB/Redis</t>
  </si>
  <si>
    <t>30 题 + 1 次手写题</t>
  </si>
  <si>
    <t>80% 以上能答</t>
  </si>
  <si>
    <t>R01/R02/R06/R15/R16</t>
  </si>
  <si>
    <t>LLM 面试：Transformer/Attention/Token/Prompt/API</t>
  </si>
  <si>
    <t>30 题口答 + 2 张手绘图</t>
  </si>
  <si>
    <t>C1/C4/C5</t>
  </si>
  <si>
    <t>能用自己的话讲清</t>
  </si>
  <si>
    <t>R10/R12/R13</t>
  </si>
  <si>
    <t>八斗面试补充：Self-Attention、QKV、位置编码、BERT vs GPT。</t>
  </si>
  <si>
    <t>RAG 面试：chunk/embedding/retrieval/rerank/eval</t>
  </si>
  <si>
    <t>40 题 + failure case</t>
  </si>
  <si>
    <t>能从指标定位问题</t>
  </si>
  <si>
    <t>R11/R12/R22</t>
  </si>
  <si>
    <t>八斗面试补充：RAG 高频追问 + CrossEncoder / Rerank。</t>
  </si>
  <si>
    <t>Agent 面试：tool calling/LangGraph/MCP/memory/security</t>
  </si>
  <si>
    <t>40 题 + 白板设计</t>
  </si>
  <si>
    <t>C3/C4/C6</t>
  </si>
  <si>
    <t>能完整设计 Agent 系统</t>
  </si>
  <si>
    <t>八斗面试补充：ReAct、Agent、MCP、Memory、GraphRAG。</t>
  </si>
  <si>
    <t>项目面试：旗舰项目深挖 + 压力追问</t>
  </si>
  <si>
    <t>模拟面试 1 次并复盘</t>
  </si>
  <si>
    <t>每个项目点都能落到代码/数据</t>
  </si>
  <si>
    <t>R09/R21</t>
  </si>
  <si>
    <t>简历/投递冲刺：根据 JD 改关键词与项目表述</t>
  </si>
  <si>
    <t>完成定向版本 + 投递</t>
  </si>
  <si>
    <t>保持真实，不夸大</t>
  </si>
  <si>
    <t>R30/R08</t>
  </si>
  <si>
    <t>最终考核：白板架构 + 编码 + RAG/Agent 追问 + 项目答辩</t>
  </si>
  <si>
    <t>形成个人错题本与下一阶段计划</t>
  </si>
  <si>
    <t>C1/C3/C4</t>
  </si>
  <si>
    <t>达到毕业标准才算结业</t>
  </si>
  <si>
    <t>R21/R19</t>
  </si>
  <si>
    <t>14周周计划 · 每周日做一次“闸门验收”</t>
  </si>
  <si>
    <t>核心重点</t>
  </si>
  <si>
    <t>本周目标</t>
  </si>
  <si>
    <t>必须交付</t>
  </si>
  <si>
    <t>闸门验收</t>
  </si>
  <si>
    <t>建议课程</t>
  </si>
  <si>
    <t>求职动作</t>
  </si>
  <si>
    <t>能独立写一个可测试、可流式输出的 LLM Chat API，不依赖课程代码。</t>
  </si>
  <si>
    <t>只学习/建项目基础</t>
  </si>
  <si>
    <t>能脱离 LangChain 直接调用模型，处理流式、多轮、结构化输出和基础 Tool Calling。</t>
  </si>
  <si>
    <t>建立技术词汇表</t>
  </si>
  <si>
    <t>手写一个最小 RAG，真正理解检索链路和失败原因。</t>
  </si>
  <si>
    <t>开始收集目标岗位JD</t>
  </si>
  <si>
    <t>把手写 RAG 迁移到工程框架，理解抽象层而不是背 API。</t>
  </si>
  <si>
    <t>记录高频面试问题</t>
  </si>
  <si>
    <t>从“能回答”升级到“能测量、能优化、能解释为什么变好”。</t>
  </si>
  <si>
    <t>建立作品集证据</t>
  </si>
  <si>
    <t>形成第一份可展示作品，贯通前后端和 RAG。</t>
  </si>
  <si>
    <t>完善项目README</t>
  </si>
  <si>
    <t>不依赖框架理解 Agent Loop，能把多个工具组织成可控流程。</t>
  </si>
  <si>
    <t>开始练项目讲解</t>
  </si>
  <si>
    <t>能设计并实现可恢复、可调试的多步骤 Agent Workflow。</t>
  </si>
  <si>
    <t>准备简历素材</t>
  </si>
  <si>
    <t>完成 MCP 闭环，同时开始投递而不是等全部学完。</t>
  </si>
  <si>
    <t>开始正式投递</t>
  </si>
  <si>
    <t>把项目从 Demo 提升到可维护后端服务。</t>
  </si>
  <si>
    <t>每周复盘投递反馈</t>
  </si>
  <si>
    <t>形成“效果可量化、问题可定位”的 AI 工程能力。</t>
  </si>
  <si>
    <t>针对JD补缺口</t>
  </si>
  <si>
    <t>理解应用层与推理服务解耦，能切换云模型/本地模型。</t>
  </si>
  <si>
    <t>继续定向投递</t>
  </si>
  <si>
    <t>做出真正能讲 20–30 分钟的简历主项目。</t>
  </si>
  <si>
    <t>项目答辩准备</t>
  </si>
  <si>
    <t>停止堆新技术，集中转化为面试表现与 Offer 机会。</t>
  </si>
  <si>
    <t>集中面试/投递</t>
  </si>
  <si>
    <t>知识地图 V2.1 · 学到什么程度就停</t>
  </si>
  <si>
    <t>领域</t>
  </si>
  <si>
    <t>知识点</t>
  </si>
  <si>
    <t>目标层级</t>
  </si>
  <si>
    <t>必须做到</t>
  </si>
  <si>
    <t>暂不深挖</t>
  </si>
  <si>
    <t>建议周</t>
  </si>
  <si>
    <t>Python/后端</t>
  </si>
  <si>
    <t>Python 核心语法、typing、装饰器、生成器</t>
  </si>
  <si>
    <t>🔴必学</t>
  </si>
  <si>
    <t>会写+会解释</t>
  </si>
  <si>
    <t>能读懂并修改正常 Python 服务</t>
  </si>
  <si>
    <t>底层解释器源码</t>
  </si>
  <si>
    <t>asyncio/async/await/httpx</t>
  </si>
  <si>
    <t>能写+能排障</t>
  </si>
  <si>
    <t>能处理并发 IO/timeout/retry</t>
  </si>
  <si>
    <t>底层事件循环源码</t>
  </si>
  <si>
    <t>1,10</t>
  </si>
  <si>
    <t>FastAPI/Pydantic</t>
  </si>
  <si>
    <t>能独立开发</t>
  </si>
  <si>
    <t>REST/SSE/依赖注入/异常/测试</t>
  </si>
  <si>
    <t>框架源码细节</t>
  </si>
  <si>
    <t>数据库</t>
  </si>
  <si>
    <t>PostgreSQL/SQL/索引/事务</t>
  </si>
  <si>
    <t>会用+会解释</t>
  </si>
  <si>
    <t>能设计常用表与查询</t>
  </si>
  <si>
    <t>DBA深度</t>
  </si>
  <si>
    <t>10</t>
  </si>
  <si>
    <t>缓存</t>
  </si>
  <si>
    <t>Redis</t>
  </si>
  <si>
    <t>缓存/session/限流</t>
  </si>
  <si>
    <t>Redis源码</t>
  </si>
  <si>
    <t>LLM</t>
  </si>
  <si>
    <t>Token/Context/Temperature/Structured Output</t>
  </si>
  <si>
    <t>能讲清原理+会用</t>
  </si>
  <si>
    <t>能解释参数、失败模式</t>
  </si>
  <si>
    <t>模型训练细节</t>
  </si>
  <si>
    <t>Transformer/Attention/Hidden State</t>
  </si>
  <si>
    <t>🟠重点</t>
  </si>
  <si>
    <t>能用自己的话解释</t>
  </si>
  <si>
    <t>不推导全部论文</t>
  </si>
  <si>
    <t>完整训练数学</t>
  </si>
  <si>
    <t>2,14</t>
  </si>
  <si>
    <t>RAG</t>
  </si>
  <si>
    <t>Chunk/Embedding/Similarity/TopK</t>
  </si>
  <si>
    <t>能手写+能排障</t>
  </si>
  <si>
    <t>能定位召回问题</t>
  </si>
  <si>
    <t>Embedding训练</t>
  </si>
  <si>
    <t>3-5</t>
  </si>
  <si>
    <t>Vector DB/Metadata</t>
  </si>
  <si>
    <t>能独立接入</t>
  </si>
  <si>
    <t>CRUD/search/filter</t>
  </si>
  <si>
    <t>数据库内核</t>
  </si>
  <si>
    <t>BM25/Hybrid/Rerank</t>
  </si>
  <si>
    <t>能实现+能解释</t>
  </si>
  <si>
    <t>能做实验并对比</t>
  </si>
  <si>
    <t>检索学术论文深挖</t>
  </si>
  <si>
    <t>4-5</t>
  </si>
  <si>
    <t>Query Rewrite/Compression/Citation</t>
  </si>
  <si>
    <t>能实现+能评测</t>
  </si>
  <si>
    <t>能解决多轮和上下文问题</t>
  </si>
  <si>
    <t>复杂GraphRAG</t>
  </si>
  <si>
    <t>Evaluation/Regression</t>
  </si>
  <si>
    <t>能独立搭建</t>
  </si>
  <si>
    <t>有dataset/metrics/report</t>
  </si>
  <si>
    <t>学术级benchmark</t>
  </si>
  <si>
    <t>5,11</t>
  </si>
  <si>
    <t>Agent</t>
  </si>
  <si>
    <t>Function/Tool Calling</t>
  </si>
  <si>
    <t>手写+框架化</t>
  </si>
  <si>
    <t>能处理tool loop/错误</t>
  </si>
  <si>
    <t>复杂规划算法</t>
  </si>
  <si>
    <t>7</t>
  </si>
  <si>
    <t>Workflow vs Agent</t>
  </si>
  <si>
    <t>能做架构选择</t>
  </si>
  <si>
    <t>知道何时不用Agent</t>
  </si>
  <si>
    <t>复杂Multi-Agent</t>
  </si>
  <si>
    <t>7-8</t>
  </si>
  <si>
    <t>独立开发</t>
  </si>
  <si>
    <t>State/Node/Edge/Checkpoint/HITL</t>
  </si>
  <si>
    <t>源码级研究</t>
  </si>
  <si>
    <t>8</t>
  </si>
  <si>
    <t>MCP</t>
  </si>
  <si>
    <t>会开发+集成</t>
  </si>
  <si>
    <t>至少1个MCP Server</t>
  </si>
  <si>
    <t>协议规范全部细节</t>
  </si>
  <si>
    <t>9</t>
  </si>
  <si>
    <t>Docker/Linux/Git</t>
  </si>
  <si>
    <t>独立部署</t>
  </si>
  <si>
    <t>Compose/日志/排障</t>
  </si>
  <si>
    <t>K8s深度</t>
  </si>
  <si>
    <t>10-13</t>
  </si>
  <si>
    <t>AI工程</t>
  </si>
  <si>
    <t>Observability/Trace/Token/Cost</t>
  </si>
  <si>
    <t>能落地</t>
  </si>
  <si>
    <t>知道慢/贵/错在哪</t>
  </si>
  <si>
    <t>完整平台建设</t>
  </si>
  <si>
    <t>11</t>
  </si>
  <si>
    <t>Ollama/vLLM/OpenAI-compatible</t>
  </si>
  <si>
    <t>会部署/解释</t>
  </si>
  <si>
    <t>模型可替换</t>
  </si>
  <si>
    <t>CUDA深挖</t>
  </si>
  <si>
    <t>12</t>
  </si>
  <si>
    <t>微调</t>
  </si>
  <si>
    <t>SFT/LoRA/QLoRA</t>
  </si>
  <si>
    <t>🟡选学</t>
  </si>
  <si>
    <t>跑通+能解释</t>
  </si>
  <si>
    <t>完成一次小实验即可</t>
  </si>
  <si>
    <t>RLHF/DPO深入</t>
  </si>
  <si>
    <t>12/课后</t>
  </si>
  <si>
    <t>安全</t>
  </si>
  <si>
    <t>Prompt Injection/工具权限/敏感数据</t>
  </si>
  <si>
    <t>能防护+能解释</t>
  </si>
  <si>
    <t>白名单/审计/确认</t>
  </si>
  <si>
    <t>红队深度</t>
  </si>
  <si>
    <t>13</t>
  </si>
  <si>
    <t>求职</t>
  </si>
  <si>
    <t>项目讲解/系统设计/面试</t>
  </si>
  <si>
    <t>能独立作答</t>
  </si>
  <si>
    <t>30分钟项目答辩</t>
  </si>
  <si>
    <t>刷大量冷门八股</t>
  </si>
  <si>
    <t>9-14</t>
  </si>
  <si>
    <t>ReAct（Reason→Action→Observation）</t>
  </si>
  <si>
    <t>手写+解释</t>
  </si>
  <si>
    <t>能实现最小ReAct并说清局限</t>
  </si>
  <si>
    <t>Memory：短期/长期/压缩/写入策略</t>
  </si>
  <si>
    <t>设计+实现</t>
  </si>
  <si>
    <t>至少实现两层记忆和压缩策略</t>
  </si>
  <si>
    <t>复杂认知架构</t>
  </si>
  <si>
    <t>FC vs MCP vs CLI</t>
  </si>
  <si>
    <t>对比+实践</t>
  </si>
  <si>
    <t>同一工具至少做FC与MCP两种接入</t>
  </si>
  <si>
    <t>协议实现细节</t>
  </si>
  <si>
    <t>7/9</t>
  </si>
  <si>
    <t>GraphRAG / Text2Cypher</t>
  </si>
  <si>
    <t>能解释+小实验</t>
  </si>
  <si>
    <t>知道何时需要图结构；做小demo</t>
  </si>
  <si>
    <t>复杂图算法</t>
  </si>
  <si>
    <t>KV Cache / PagedAttention / TTFT / TPOT</t>
  </si>
  <si>
    <t>能解释+部署</t>
  </si>
  <si>
    <t>能说明 vLLM 解决什么性能问题</t>
  </si>
  <si>
    <t>CUDA kernel</t>
  </si>
  <si>
    <t>工程</t>
  </si>
  <si>
    <t>API高可用：Retry/Fallback/Health/Circuit Breaker</t>
  </si>
  <si>
    <t>能实现+故障注入</t>
  </si>
  <si>
    <t>至少完成1次完整故障演练</t>
  </si>
  <si>
    <t>大规模服务治理</t>
  </si>
  <si>
    <t>项目与毕业标准 · 不满足验收，不算学会</t>
  </si>
  <si>
    <t>项目</t>
  </si>
  <si>
    <t>核心模块</t>
  </si>
  <si>
    <t>必须功能</t>
  </si>
  <si>
    <t>工程要求</t>
  </si>
  <si>
    <t>证据</t>
  </si>
  <si>
    <t>毕业前状态</t>
  </si>
  <si>
    <t>验收</t>
  </si>
  <si>
    <t>项目1｜LLM Chat API</t>
  </si>
  <si>
    <t>展示 Python 后端基本功</t>
  </si>
  <si>
    <t>FastAPI/async/SSE/LLM API/Pydantic/pytest</t>
  </si>
  <si>
    <t>多轮、Streaming、结构化输出、基础Tool Calling</t>
  </si>
  <si>
    <t>错误处理、日志、测试、env、Docker基础</t>
  </si>
  <si>
    <t>GitHub代码+README+测试截图</t>
  </si>
  <si>
    <t>必须完成</t>
  </si>
  <si>
    <t>能脱离教程 90 分钟重写核心</t>
  </si>
  <si>
    <t>项目2｜企业知识库</t>
  </si>
  <si>
    <t>展示 RAG 深度与前后端全栈</t>
  </si>
  <si>
    <t>React/FastAPI/PostgreSQL/pgvector/Redis/RAG</t>
  </si>
  <si>
    <t>文档上传、解析、Chunk、Hybrid、Rerank、引用、SSE</t>
  </si>
  <si>
    <t>权限/缓存/重试/测试/Docker</t>
  </si>
  <si>
    <t>Demo+架构图+评测报告</t>
  </si>
  <si>
    <t>100条以上评测集，有优化前后对比</t>
  </si>
  <si>
    <t>项目3｜企业AI助手/Agent</t>
  </si>
  <si>
    <t>展示 Agent/MCP/工程化</t>
  </si>
  <si>
    <t>LangGraph/Tool Calling/MCP/DB Tool/API Tool/RAG</t>
  </si>
  <si>
    <t>路由、Workflow、HITL、记忆、工具、引用</t>
  </si>
  <si>
    <t>Trace、token/cost、异常、权限、审计、Docker</t>
  </si>
  <si>
    <t>10分钟Demo+30分钟答辩</t>
  </si>
  <si>
    <t>能讲清trade-off与故障处理</t>
  </si>
  <si>
    <t>毕业项A｜Python后端</t>
  </si>
  <si>
    <t>基础能力</t>
  </si>
  <si>
    <t>Python/FastAPI/async/SQL/Redis</t>
  </si>
  <si>
    <t>独立写接口+测试</t>
  </si>
  <si>
    <t>结构清晰/可维护</t>
  </si>
  <si>
    <t>现场编码</t>
  </si>
  <si>
    <t>合格</t>
  </si>
  <si>
    <t>面试手写题不依赖AI</t>
  </si>
  <si>
    <t>毕业项B｜RAG</t>
  </si>
  <si>
    <t>核心AI能力</t>
  </si>
  <si>
    <t>Embedding/Retrieval/Hybrid/Rerank/Eval</t>
  </si>
  <si>
    <t>能优化召回</t>
  </si>
  <si>
    <t>有数据驱动对比</t>
  </si>
  <si>
    <t>实验报告</t>
  </si>
  <si>
    <t>能回答“60%准确率怎么提升”</t>
  </si>
  <si>
    <t>毕业项C｜Agent</t>
  </si>
  <si>
    <t>Tool/Workflow/LangGraph/MCP</t>
  </si>
  <si>
    <t>多工具流程+安全</t>
  </si>
  <si>
    <t>失败可恢复</t>
  </si>
  <si>
    <t>状态图+代码</t>
  </si>
  <si>
    <t>能白板设计复杂Agent</t>
  </si>
  <si>
    <t>毕业项D｜工程化</t>
  </si>
  <si>
    <t>真实工作能力</t>
  </si>
  <si>
    <t>Docker/Logging/Observability/Model Gateway</t>
  </si>
  <si>
    <t>可部署/可排障</t>
  </si>
  <si>
    <t>有runbook</t>
  </si>
  <si>
    <t>部署文档</t>
  </si>
  <si>
    <t>能解释线上故障定位</t>
  </si>
  <si>
    <t>毕业项E｜求职</t>
  </si>
  <si>
    <t>转化能力</t>
  </si>
  <si>
    <t>简历/作品集/面试/投递</t>
  </si>
  <si>
    <t>定向投递+模拟面</t>
  </si>
  <si>
    <t>不夸大、不编造</t>
  </si>
  <si>
    <t>简历+投递表</t>
  </si>
  <si>
    <t>能把每个亮点落到代码或数据</t>
  </si>
  <si>
    <t>课程索引 · 把课程当“知识仓库”，不要线性刷课</t>
  </si>
  <si>
    <t>索引</t>
  </si>
  <si>
    <t>定位</t>
  </si>
  <si>
    <t>优先主题</t>
  </si>
  <si>
    <t>使用原则</t>
  </si>
  <si>
    <t>链接</t>
  </si>
  <si>
    <t>C1</t>
  </si>
  <si>
    <t>【知乎知客堂】182809_知乎AI应用开发工程师大模型15期</t>
  </si>
  <si>
    <t>补充主线知识；按主题查课，不线性刷完</t>
  </si>
  <si>
    <t>Python/LLM/RAG/Agent/就业</t>
  </si>
  <si>
    <t>出现知识缺口时再看对应章节；看完立即关视频自己实现</t>
  </si>
  <si>
    <t>【尚硅谷】AI 大模型全栈系列实战课｜0 基础到项目落地</t>
  </si>
  <si>
    <t>全栈工程与完整项目参考</t>
  </si>
  <si>
    <t>FastAPI/数据库/RAG/Agent/部署</t>
  </si>
  <si>
    <t>【博学谷】AI大模型就业班（第八期）</t>
  </si>
  <si>
    <t>就业/面试体系补充</t>
  </si>
  <si>
    <t>面试/项目/工程化</t>
  </si>
  <si>
    <t>【极客时间】AI大模型应用开发实战营第7期</t>
  </si>
  <si>
    <t>深度理解与应用设计</t>
  </si>
  <si>
    <t>RAG/Agent/工程化/原理</t>
  </si>
  <si>
    <t>C5</t>
  </si>
  <si>
    <t>【九天菜菜】大模型原理与训练实战</t>
  </si>
  <si>
    <t>后段原理与微调补充，不作为前期主线</t>
  </si>
  <si>
    <t>Transformer/训练/SFT/LoRA</t>
  </si>
  <si>
    <t>【聚客AI】2026AI大模型工程师实战营六期 全栈开发教程</t>
  </si>
  <si>
    <t>补充 Agent/MCP/全栈/新技术</t>
  </si>
  <si>
    <t>Agent/MCP/部署/工程化</t>
  </si>
  <si>
    <t>C7</t>
  </si>
  <si>
    <t>【黑马-B站】AI大模型RAG与Agent智能体开发项目课程</t>
  </si>
  <si>
    <t>已学完；只用于快速回查</t>
  </si>
  <si>
    <t>RAG/Agent</t>
  </si>
  <si>
    <t>https://www.bilibili.com/video/BV1yjz5BLEoY/?spm_id_from=333.337.search-card.all.click&amp;vd_source=772c334c2324a49a603567162bb9f37e</t>
  </si>
  <si>
    <t>V2.1课程策略</t>
  </si>
  <si>
    <t>八斗大纲</t>
  </si>
  <si>
    <t>对照/补充</t>
  </si>
  <si>
    <t>按 V2.1_八斗融合评估执行</t>
  </si>
  <si>
    <t>不线性刷完整套课</t>
  </si>
  <si>
    <t>用户提供截图</t>
  </si>
  <si>
    <t>Bilibili Agent实战课</t>
  </si>
  <si>
    <t>补充</t>
  </si>
  <si>
    <t>重点挑 LangGraph / Skills / GraphRAG / 企业项目</t>
  </si>
  <si>
    <t>不替代主线</t>
  </si>
  <si>
    <t>R32</t>
  </si>
  <si>
    <t>Hysen AI工程实战课</t>
  </si>
  <si>
    <t>Transformer/KV Cache/LoRA/vLLM/毕业项目</t>
  </si>
  <si>
    <t>只补缺口</t>
  </si>
  <si>
    <t>R33</t>
  </si>
  <si>
    <t>V2.1原则</t>
  </si>
  <si>
    <t>所有录播</t>
  </si>
  <si>
    <t>限制</t>
  </si>
  <si>
    <t>只看指定章节；看完立即关视频独立重写</t>
  </si>
  <si>
    <t>禁止“看完再练”</t>
  </si>
  <si>
    <t>执行依据</t>
  </si>
  <si>
    <t>每日节奏 V2.1 · 以输出为中心</t>
  </si>
  <si>
    <t>时间</t>
  </si>
  <si>
    <t>内容</t>
  </si>
  <si>
    <t>执行规则</t>
  </si>
  <si>
    <t>周日调整</t>
  </si>
  <si>
    <t>完成标记</t>
  </si>
  <si>
    <t>08:00–09:00</t>
  </si>
  <si>
    <t>复习 + 原理</t>
  </si>
  <si>
    <t>把昨天内容讲一遍</t>
  </si>
  <si>
    <t>先回忆，后看资料</t>
  </si>
  <si>
    <t>08:00–09:30 做周测复盘</t>
  </si>
  <si>
    <t>□</t>
  </si>
  <si>
    <t>09:00–12:00</t>
  </si>
  <si>
    <t>手写代码</t>
  </si>
  <si>
    <t>完成当日核心编码</t>
  </si>
  <si>
    <t>禁止照抄；先写再查</t>
  </si>
  <si>
    <t>09:30–12:00 补弱项</t>
  </si>
  <si>
    <t>12:00–13:30</t>
  </si>
  <si>
    <t>午饭/休息</t>
  </si>
  <si>
    <t>恢复精力</t>
  </si>
  <si>
    <t>不安排重学习</t>
  </si>
  <si>
    <t>12:00–13:30 休息</t>
  </si>
  <si>
    <t>13:30–15:00</t>
  </si>
  <si>
    <t>课程查缺</t>
  </si>
  <si>
    <t>只看今天需要的章节</t>
  </si>
  <si>
    <t>课程占全天≤20%</t>
  </si>
  <si>
    <t>13:30–15:00 周总结</t>
  </si>
  <si>
    <t>15:00–17:30</t>
  </si>
  <si>
    <t>项目实战</t>
  </si>
  <si>
    <t>把知识进入项目</t>
  </si>
  <si>
    <t>必须产生 Git commit</t>
  </si>
  <si>
    <t>15:00–17:00 项目整理</t>
  </si>
  <si>
    <t>17:30–18:00</t>
  </si>
  <si>
    <t>休息</t>
  </si>
  <si>
    <t>放空</t>
  </si>
  <si>
    <t>不补课</t>
  </si>
  <si>
    <t>17:00–17:30 休息</t>
  </si>
  <si>
    <t>V2.1 强制规则：课程≤20%；每个核心知识点必须经历“知道→能写→能解释→能排障”；每周至少一次独立重写；八斗新增内容只能在对应 Day 加深，不得因为大纲更长而无限扩张学习周期。</t>
  </si>
  <si>
    <t>面试/复盘</t>
  </si>
  <si>
    <t>当天至少回答5题</t>
  </si>
  <si>
    <t>写下不会的问题</t>
  </si>
  <si>
    <t>17:30–18:30 周测讲解；18:30–19:00 计划下周</t>
  </si>
  <si>
    <t>求职与面试节奏 · 第9周开始正式投递</t>
  </si>
  <si>
    <t>求职目标</t>
  </si>
  <si>
    <t>简历/作品集</t>
  </si>
  <si>
    <t>面试训练</t>
  </si>
  <si>
    <t>投递动作</t>
  </si>
  <si>
    <t>复盘内容</t>
  </si>
  <si>
    <t>核心产出</t>
  </si>
  <si>
    <t>了解岗位</t>
  </si>
  <si>
    <t>建立目标岗位JD池</t>
  </si>
  <si>
    <t>Python基础词汇</t>
  </si>
  <si>
    <t>收藏10个岗位</t>
  </si>
  <si>
    <t>记录高频要求</t>
  </si>
  <si>
    <t>JD表</t>
  </si>
  <si>
    <t>确定技术主线</t>
  </si>
  <si>
    <t>建立简历素材库</t>
  </si>
  <si>
    <t>LLM基础题</t>
  </si>
  <si>
    <t>收藏10个</t>
  </si>
  <si>
    <t>归类RAG/Agent/后端要求</t>
  </si>
  <si>
    <t>要求地图</t>
  </si>
  <si>
    <t>建立岗位标准</t>
  </si>
  <si>
    <t>项目素材开始积累</t>
  </si>
  <si>
    <t>RAG基础题</t>
  </si>
  <si>
    <t>开始记录JD</t>
  </si>
  <si>
    <t>统计共性技能</t>
  </si>
  <si>
    <t>岗位技能表</t>
  </si>
  <si>
    <t>验证岗位匹配</t>
  </si>
  <si>
    <t>项目截图/代码证据</t>
  </si>
  <si>
    <t>RAG深挖题</t>
  </si>
  <si>
    <t>筛选岗位</t>
  </si>
  <si>
    <t>记录缺口</t>
  </si>
  <si>
    <t>岗位匹配表</t>
  </si>
  <si>
    <t>形成作品集</t>
  </si>
  <si>
    <t>项目2开始出稿</t>
  </si>
  <si>
    <t>RAG/评测题</t>
  </si>
  <si>
    <t>准备定向投递</t>
  </si>
  <si>
    <t>看岗位是否要MCP/Agent</t>
  </si>
  <si>
    <t>作品集v0</t>
  </si>
  <si>
    <t>简历素材成型</t>
  </si>
  <si>
    <t>项目2 README</t>
  </si>
  <si>
    <t>项目讲解5分钟</t>
  </si>
  <si>
    <t>预留目标公司列表</t>
  </si>
  <si>
    <t>优化量化描述</t>
  </si>
  <si>
    <t>简历素材库</t>
  </si>
  <si>
    <t>模拟面试</t>
  </si>
  <si>
    <t>项目讲解稿</t>
  </si>
  <si>
    <t>Python+RAG模拟</t>
  </si>
  <si>
    <t>准备投递</t>
  </si>
  <si>
    <t>记录弱项</t>
  </si>
  <si>
    <t>模拟记录1</t>
  </si>
  <si>
    <t>准备启动</t>
  </si>
  <si>
    <t>简历v1</t>
  </si>
  <si>
    <t>Agent/系统设计</t>
  </si>
  <si>
    <t>建立20岗清单</t>
  </si>
  <si>
    <t>按JD排序缺口</t>
  </si>
  <si>
    <t>正式投递</t>
  </si>
  <si>
    <t>简历v1+GitHub</t>
  </si>
  <si>
    <t>2次模拟</t>
  </si>
  <si>
    <t>第一批10–20个定向投递</t>
  </si>
  <si>
    <t>分析回复率</t>
  </si>
  <si>
    <t>投递表v1</t>
  </si>
  <si>
    <t>继续投递</t>
  </si>
  <si>
    <t>按JD微调项目表述</t>
  </si>
  <si>
    <t>10–20个定向投递</t>
  </si>
  <si>
    <t>记录面试题</t>
  </si>
  <si>
    <t>面试错题本</t>
  </si>
  <si>
    <t>补缺口</t>
  </si>
  <si>
    <t>加入评测/Trace证据</t>
  </si>
  <si>
    <t>RAG/工程面试</t>
  </si>
  <si>
    <t>针对拒绝原因补齐</t>
  </si>
  <si>
    <t>简历v2素材</t>
  </si>
  <si>
    <t>增强技术深度</t>
  </si>
  <si>
    <t>模型服务证据</t>
  </si>
  <si>
    <t>vLLM/部署题</t>
  </si>
  <si>
    <t>筛选更匹配岗位</t>
  </si>
  <si>
    <t>项目v3</t>
  </si>
  <si>
    <t>冲刺主项目</t>
  </si>
  <si>
    <t>旗舰项目RC</t>
  </si>
  <si>
    <t>完整项目答辩</t>
  </si>
  <si>
    <t>重点投递</t>
  </si>
  <si>
    <t>模拟压力面</t>
  </si>
  <si>
    <t>答辩稿</t>
  </si>
  <si>
    <t>面试/Offer阶段</t>
  </si>
  <si>
    <t>简历v2</t>
  </si>
  <si>
    <t>3轮模拟+复盘</t>
  </si>
  <si>
    <t>集中投递与面试</t>
  </si>
  <si>
    <t>每场后更新错题</t>
  </si>
  <si>
    <t>最终材料包</t>
  </si>
  <si>
    <t>2026年9月岗位需求抽样 · 用来校准学习重点</t>
  </si>
  <si>
    <t>来源</t>
  </si>
  <si>
    <t>时间/地区</t>
  </si>
  <si>
    <t>岗位要点</t>
  </si>
  <si>
    <t>对本计划的影响</t>
  </si>
  <si>
    <t>URL</t>
  </si>
  <si>
    <t>百度校园招聘｜上海-大模型研发工程师</t>
  </si>
  <si>
    <t>2026-07-21｜上海</t>
  </si>
  <si>
    <t>Python、LLM API、RAG、Agent、vLLM/LangChain、Docker/K8s、大模型应用系统研发</t>
  </si>
  <si>
    <t>证明主干必须覆盖 Python + RAG/Agent + 模型服务 + 容器化</t>
  </si>
  <si>
    <t>https://talent.baidu.com/jobs/detail/GRADUATE/3b3888c3-5d8b-4c62-9bbb-a142c24e7d86</t>
  </si>
  <si>
    <t>上海人工智能实验室｜大模型应用算法工程师</t>
  </si>
  <si>
    <t>2026-08-13｜上海</t>
  </si>
  <si>
    <t>Python/PyTorch、RAG、Agent、Prompt、模型训练/部署；偏算法/工程混合</t>
  </si>
  <si>
    <t>作为较高门槛参考；训练/微调放在加分项而非主线</t>
  </si>
  <si>
    <t>https://www.shlab.org.cn/joinus/detail/7540111744543443250?mode=social</t>
  </si>
  <si>
    <t>上海复易｜大模型应用开发工程师</t>
  </si>
  <si>
    <t>2026-09-17｜上海</t>
  </si>
  <si>
    <t>Python/FastAPI/异步、LLM API、Prompt/RAG/Agent、Redis、云部署</t>
  </si>
  <si>
    <t>强化 FastAPI + asyncio + Redis + 云部署</t>
  </si>
  <si>
    <t>https://m.yupao.com/zhaogong/345327801.html</t>
  </si>
  <si>
    <t>上海超级线索｜AI大模型应用开发工程师</t>
  </si>
  <si>
    <t>近期｜上海</t>
  </si>
  <si>
    <t>全栈AI应用、RAG、Agent、向量库、Linux/Git/Docker、微调、开源/独立Demo</t>
  </si>
  <si>
    <t>强化你的前端优势，要求全链路与工程化</t>
  </si>
  <si>
    <t>https://www.zhaopin.com/jobdetail/CCL1518858530J40885152310.htm</t>
  </si>
  <si>
    <t>AI Agent研发工程师｜上海</t>
  </si>
  <si>
    <t>2026-07-14｜上海</t>
  </si>
  <si>
    <t>Agent架构、RAG、Prompt、记忆、缓存/MQ/异步、可观测与安全</t>
  </si>
  <si>
    <t>强化 Agent 工程化、安全、可观测性</t>
  </si>
  <si>
    <t>https://career.muc.edu.cn/front/zwxx.jspa?xqzwId=37668&amp;zpxxId=31784</t>
  </si>
  <si>
    <t>大模型应用工程师｜上海</t>
  </si>
  <si>
    <t>RAG/Agent、LangGraph/LlamaIndex/Dify、Function Calling、JSON Schema、流式、Redis、异步、MQ、Docker、评测</t>
  </si>
  <si>
    <t>直接对应本计划的高级工程能力</t>
  </si>
  <si>
    <t>https://www.zhaopin.com/jobdetail/CC167420220J40934637212.htm</t>
  </si>
  <si>
    <t>V2.1 · 精选学习资源库（主线资源优先 + 八斗大纲融合）</t>
  </si>
  <si>
    <t>使用规则：主线优先官方/项目方 + 有实战/作业的资源；录播只看指定章节。课程时间≤20%，其余用于独立编码、实验、项目、Review。</t>
  </si>
  <si>
    <t>八斗学院大纲来自你提供的课程截图；其内容作为能力补充与项目对照，不代表我们要求完整照单学习。</t>
  </si>
  <si>
    <t>ID</t>
  </si>
  <si>
    <t>类型</t>
  </si>
  <si>
    <t>资源名称</t>
  </si>
  <si>
    <t>级别</t>
  </si>
  <si>
    <t>推荐周</t>
  </si>
  <si>
    <t>重点章节 / 学习动作</t>
  </si>
  <si>
    <t>为什么纳入</t>
  </si>
  <si>
    <t>备注</t>
  </si>
  <si>
    <t>R01</t>
  </si>
  <si>
    <t>官方教程</t>
  </si>
  <si>
    <t>Python 官方 Tutorial</t>
  </si>
  <si>
    <t>主线</t>
  </si>
  <si>
    <t>基础语法回顾、数据结构、模块、异常；不从头刷完整教程。</t>
  </si>
  <si>
    <t>Python 已有基础，只补缺口</t>
  </si>
  <si>
    <t>FastAPI 官方 Tutorial</t>
  </si>
  <si>
    <t>1/6/10</t>
  </si>
  <si>
    <t>Path/Query、Pydantic、依赖注入、异常、Streaming、Testing。</t>
  </si>
  <si>
    <t>以官方文档为 API 事实来源</t>
  </si>
  <si>
    <t>R03</t>
  </si>
  <si>
    <t>官方文档</t>
  </si>
  <si>
    <t>Pydantic 官方文档</t>
  </si>
  <si>
    <t>1/2</t>
  </si>
  <si>
    <t>BaseModel、validation、Settings、typing。</t>
  </si>
  <si>
    <t>只查与当前任务相关的部分</t>
  </si>
  <si>
    <t>R04</t>
  </si>
  <si>
    <t>Python asyncio 官方文档</t>
  </si>
  <si>
    <t>1/10</t>
  </si>
  <si>
    <t>async/await、Task、gather、timeout、并发边界。</t>
  </si>
  <si>
    <t>理解异步机制，不死记 API</t>
  </si>
  <si>
    <t>R05</t>
  </si>
  <si>
    <t>HTTPX Async 官方文档</t>
  </si>
  <si>
    <t>AsyncClient、连接复用、timeout、并发请求。</t>
  </si>
  <si>
    <t>替代同步 requests 的工程实践</t>
  </si>
  <si>
    <t>https://www.python-httpx.org/async/</t>
  </si>
  <si>
    <t>pytest 官方文档</t>
  </si>
  <si>
    <t>fixtures、mock、parametrize、API testing。</t>
  </si>
  <si>
    <t>至少做到能写/改/定位测试</t>
  </si>
  <si>
    <t>R07</t>
  </si>
  <si>
    <t>课程/教程</t>
  </si>
  <si>
    <t>MIT Missing Semester</t>
  </si>
  <si>
    <t>命令行、Shell、Git、Debug、工具链。</t>
  </si>
  <si>
    <t>只补工程习惯，不追求全学完</t>
  </si>
  <si>
    <t>R08</t>
  </si>
  <si>
    <t>书/教程</t>
  </si>
  <si>
    <t>Pro Git</t>
  </si>
  <si>
    <t>1/9/14</t>
  </si>
  <si>
    <t>分支、commit、rebase、远程仓库协作基础。</t>
  </si>
  <si>
    <t>重点是能规范管理项目历史</t>
  </si>
  <si>
    <t>DataTalksClub LLM Zoomcamp 2026</t>
  </si>
  <si>
    <t>2/3/4/5/13/14</t>
  </si>
  <si>
    <t>LLM/RAG/Agentic RAG/Evaluation/Monitoring；重点做 Homework + Project。</t>
  </si>
  <si>
    <t>作为“作业驱动”主线资源之一</t>
  </si>
  <si>
    <t>官方 Cookbook</t>
  </si>
  <si>
    <t>OpenAI Cookbook</t>
  </si>
  <si>
    <t>2/7</t>
  </si>
  <si>
    <t>Structured Outputs、Tool Calling、Streaming、应用模式。</t>
  </si>
  <si>
    <t>模型厂商可替换，重点学模式而非绑定厂商</t>
  </si>
  <si>
    <t>实战项目</t>
  </si>
  <si>
    <t>LangChain RAG from Scratch</t>
  </si>
  <si>
    <t>3/4/5/6</t>
  </si>
  <si>
    <t>从检索基础到高级 RAG 的实验材料。</t>
  </si>
  <si>
    <t>先理解，再迁移到工程项目</t>
  </si>
  <si>
    <t>Sentence Transformers Semantic Search</t>
  </si>
  <si>
    <t>Embedding、semantic search、相似度检索。</t>
  </si>
  <si>
    <t>用于理解 embedding retrieval 基础</t>
  </si>
  <si>
    <t>R13</t>
  </si>
  <si>
    <t>源码/文档</t>
  </si>
  <si>
    <t>FlagEmbedding / BGE</t>
  </si>
  <si>
    <t>3/5</t>
  </si>
  <si>
    <t>BGE-M3、embedding/reranker 的工程使用。</t>
  </si>
  <si>
    <t>你本地已有 BGE-M3，重点做实验</t>
  </si>
  <si>
    <t>pgvector</t>
  </si>
  <si>
    <t>4/6</t>
  </si>
  <si>
    <t>Vector type、similarity search、index、filter。</t>
  </si>
  <si>
    <t>与你 PostgreSQL 主项目绑定学习</t>
  </si>
  <si>
    <t>PostgreSQL Tutorial</t>
  </si>
  <si>
    <t>6/10</t>
  </si>
  <si>
    <t>SQL、JOIN、index、transaction、基础优化。</t>
  </si>
  <si>
    <t>学到能维护 AI 应用数据库即可</t>
  </si>
  <si>
    <t>Redis Get Started</t>
  </si>
  <si>
    <t>cache、session、rate limit、基础数据结构。</t>
  </si>
  <si>
    <t>结合项目而学</t>
  </si>
  <si>
    <t>Docker Get Started</t>
  </si>
  <si>
    <t>6/10/12/13</t>
  </si>
  <si>
    <t>Dockerfile、image、container、Compose、环境变量。</t>
  </si>
  <si>
    <t>目标是一键启动项目</t>
  </si>
  <si>
    <t>Hugging Face Agents Course</t>
  </si>
  <si>
    <t>7/9/13/14</t>
  </si>
  <si>
    <t>Agents、Tools、smolagents、LangGraph、Agentic RAG、Final Project。</t>
  </si>
  <si>
    <t>优先 hands-on / assignments</t>
  </si>
  <si>
    <t>LangChain Academy</t>
  </si>
  <si>
    <t>8/13</t>
  </si>
  <si>
    <t>LangGraph、State、Node、Edge、Persistence、Human-in-the-loop。</t>
  </si>
  <si>
    <t>以官方课程理解框架设计</t>
  </si>
  <si>
    <t>Model Context Protocol 官方 Introduction</t>
  </si>
  <si>
    <t>9/13/14</t>
  </si>
  <si>
    <t>Client/Server、Tools、Resources、Prompts、边界与安全。</t>
  </si>
  <si>
    <t>自己写一个 MCP Server</t>
  </si>
  <si>
    <t>DeepLearning.AI · Evaluating AI Agents</t>
  </si>
  <si>
    <t>11/13/14</t>
  </si>
  <si>
    <t>Agent evaluation、observability、experiment、iteration。</t>
  </si>
  <si>
    <t>重点不是看完，而是迁移到自己的评测框架</t>
  </si>
  <si>
    <t>Ragas</t>
  </si>
  <si>
    <t>5/11</t>
  </si>
  <si>
    <t>Context Precision、Faithfulness、Answer Relevance 等评测。</t>
  </si>
  <si>
    <t>先理解指标含义，再接入</t>
  </si>
  <si>
    <t>Ollama</t>
  </si>
  <si>
    <t>本地模型运行、API、OpenAI 兼容方式。</t>
  </si>
  <si>
    <t>目标是能把应用与模型服务解耦</t>
  </si>
  <si>
    <t>vLLM</t>
  </si>
  <si>
    <t>12/13</t>
  </si>
  <si>
    <t>OpenAI-compatible server、推理服务、性能概念。</t>
  </si>
  <si>
    <t>学到会启动/调用/解释定位即可</t>
  </si>
  <si>
    <t>安全标准</t>
  </si>
  <si>
    <t>OWASP Top 10 for LLM Applications</t>
  </si>
  <si>
    <t>重点</t>
  </si>
  <si>
    <t>9/10/13</t>
  </si>
  <si>
    <t>Prompt Injection、敏感信息、Tool 权限、日志审计。</t>
  </si>
  <si>
    <t>作为项目安全清单</t>
  </si>
  <si>
    <t>R26</t>
  </si>
  <si>
    <t>Bilibili</t>
  </si>
  <si>
    <t>黑马：AI大模型RAG与Agent智能体开发项目课程（你已学完）</t>
  </si>
  <si>
    <t>回查</t>
  </si>
  <si>
    <t>已学</t>
  </si>
  <si>
    <t>只在遇到知识缺口时回查；不重复从头看。</t>
  </si>
  <si>
    <t>旧录播只做补充</t>
  </si>
  <si>
    <t>https://www.bilibili.com/video/BV1yjz5BLEoY/</t>
  </si>
  <si>
    <t>Unstructured OSS Docs</t>
  </si>
  <si>
    <t>PDF/Office/HTML 文档解析与 ingestion。</t>
  </si>
  <si>
    <t>作为文档解析方案参考</t>
  </si>
  <si>
    <t>rank_bm25</t>
  </si>
  <si>
    <t>4/5</t>
  </si>
  <si>
    <t>BM25 基础实现与实验。</t>
  </si>
  <si>
    <t>用于理解关键词检索原理</t>
  </si>
  <si>
    <t>React Learn</t>
  </si>
  <si>
    <t>6/13</t>
  </si>
  <si>
    <t>项目 UI/状态/SSE 联调所需部分。</t>
  </si>
  <si>
    <t>你有 10 年前端经验，不需要重学</t>
  </si>
  <si>
    <t>GitHub Docs · Hello World / Projects</t>
  </si>
  <si>
    <t>9/14</t>
  </si>
  <si>
    <t>README、仓库、项目协作、作品集。</t>
  </si>
  <si>
    <t>目标是让陌生人 5 分钟看懂项目</t>
  </si>
  <si>
    <t>R31</t>
  </si>
  <si>
    <t>课程大纲对照</t>
  </si>
  <si>
    <t>八斗学院 AI 大模型 / Agent 11大实战项目（用户提供截图）</t>
  </si>
  <si>
    <t>对照项</t>
  </si>
  <si>
    <t>1-14</t>
  </si>
  <si>
    <t>不线性刷：吸收 Transformer/BERT、RAG、ReAct、Memory、vLLM、MCP、GraphRAG、故障转移等高价值部分。</t>
  </si>
  <si>
    <t>作为补充知识地图与项目设计参考；具体执行以 V2.1 每日计划为准。</t>
  </si>
  <si>
    <t>（无公开链接）</t>
  </si>
  <si>
    <t>课程信息来自用户提供的大纲截图</t>
  </si>
  <si>
    <t>外部课程</t>
  </si>
  <si>
    <t>AI大模型Agent项目实战课（Bilibili Cheese）</t>
  </si>
  <si>
    <t>8-13</t>
  </si>
  <si>
    <t>LangGraph、Agent Skills、Context/Harness/Loop Engineering、GraphRAG、企业客服/智能问数项目。</t>
  </si>
  <si>
    <t>作为 Agent 进阶参考；不替代主线，重点挑选对应章节。</t>
  </si>
  <si>
    <t>https://www.bilibili.com/cheese/play/ep1992052</t>
  </si>
  <si>
    <t>Bilibili 当前页面可检索到；作为补充 Agent 课程，不归入八斗</t>
  </si>
  <si>
    <t>实战课程</t>
  </si>
  <si>
    <t>AI 工程实战课：从调用大模型到亲手写一个 GPT</t>
  </si>
  <si>
    <t>2/12</t>
  </si>
  <si>
    <t>Transformer、小 GPT、KV Cache、LoRA、量化、Ollama/vLLM、毕业项目。</t>
  </si>
  <si>
    <t>用于补原理与模型服务，不改变应用开发主线。</t>
  </si>
  <si>
    <t>https://hysenlabs.com/zh-cn/course</t>
  </si>
  <si>
    <t>课程页当前显示长期有效；具体价格/可见课时以页面为准</t>
  </si>
  <si>
    <t>V2.1 · 实战项目 + Code Review + 毕业验收</t>
  </si>
  <si>
    <t>V2.1 新增：八斗项目映射、ReAct/Memory/FC-MCP-CLI、API高可用、vLLM性能与GraphRAG高级实验。提交时必须附 README、关键代码、测试/评测结果与设计说明。</t>
  </si>
  <si>
    <t>项目阶段</t>
  </si>
  <si>
    <t>项目名称</t>
  </si>
  <si>
    <t>加分项</t>
  </si>
  <si>
    <t>交付物</t>
  </si>
  <si>
    <t>Review重点</t>
  </si>
  <si>
    <t>毕业标准</t>
  </si>
  <si>
    <t>L1</t>
  </si>
  <si>
    <t>Lab</t>
  </si>
  <si>
    <t>RAG Lab 1 · 最小检索器</t>
  </si>
  <si>
    <t>Embedding / similarity / TopK</t>
  </si>
  <si>
    <t>文本→embedding→TopK→来源</t>
  </si>
  <si>
    <t>3种chunk策略+实验报告</t>
  </si>
  <si>
    <t>代码+实验表+设计说明</t>
  </si>
  <si>
    <t>向量、归一化、召回逻辑、异常</t>
  </si>
  <si>
    <t>能从空目录独立重写</t>
  </si>
  <si>
    <t>不允许直接复制课程代码</t>
  </si>
  <si>
    <t>L2</t>
  </si>
  <si>
    <t>RAG Eval Lab · 检索优化</t>
  </si>
  <si>
    <t>Hybrid / Rerank / Evaluation</t>
  </si>
  <si>
    <t>Dense、BM25、Hybrid、Rerank 对比</t>
  </si>
  <si>
    <t>100–300条评测集+版本对比</t>
  </si>
  <si>
    <t>JSON/CSV报告+曲线/表格</t>
  </si>
  <si>
    <t>指标设计是否合理、结论是否可信</t>
  </si>
  <si>
    <t>能用数据解释优化收益/代价</t>
  </si>
  <si>
    <t>这是简历的重要证据</t>
  </si>
  <si>
    <t>P1</t>
  </si>
  <si>
    <t>项目1</t>
  </si>
  <si>
    <t>LLM Chat API</t>
  </si>
  <si>
    <t>FastAPI / SSE / LLM API / pytest</t>
  </si>
  <si>
    <t>/chat、/health、Streaming、错误处理、测试</t>
  </si>
  <si>
    <t>Tool Calling、Token统计、Retry/Timeout</t>
  </si>
  <si>
    <t>GitHub仓库+README+测试</t>
  </si>
  <si>
    <t>API设计、async、异常、测试</t>
  </si>
  <si>
    <t>90分钟从空目录写核心版</t>
  </si>
  <si>
    <t>第1–2周</t>
  </si>
  <si>
    <t>P2</t>
  </si>
  <si>
    <t>项目2</t>
  </si>
  <si>
    <t>企业知识库系统</t>
  </si>
  <si>
    <t>RAG / PostgreSQL / pgvector / Redis / React</t>
  </si>
  <si>
    <t>上传、解析、chunk、embedding、检索、引用、SSE</t>
  </si>
  <si>
    <t>Hybrid、Rerank、权限、评测</t>
  </si>
  <si>
    <t>可运行 Demo+架构图+部署</t>
  </si>
  <si>
    <t>数据模型、检索链路、前后端联调</t>
  </si>
  <si>
    <t>陌生人照README能跑</t>
  </si>
  <si>
    <t>第6周</t>
  </si>
  <si>
    <t>A1</t>
  </si>
  <si>
    <t>项目3</t>
  </si>
  <si>
    <t>Agent + MCP 企业AI助手</t>
  </si>
  <si>
    <t>Tool Calling / LangGraph / MCP</t>
  </si>
  <si>
    <t>RAG + DB Tool + API Tool + Workflow + MCP</t>
  </si>
  <si>
    <t>HITL、Trace、安全策略</t>
  </si>
  <si>
    <t>演示视频+时序图+测试</t>
  </si>
  <si>
    <t>State、路由、失败处理、MCP边界</t>
  </si>
  <si>
    <t>能白板设计并回答20问</t>
  </si>
  <si>
    <t>第7–9周</t>
  </si>
  <si>
    <t>P3</t>
  </si>
  <si>
    <t>旗舰项目</t>
  </si>
  <si>
    <t>企业 AI 工作助手 RC</t>
  </si>
  <si>
    <t>全栈 + RAG + Agent + MCP + Eval + Trace</t>
  </si>
  <si>
    <t>需求→架构→实现→测试→评测→部署</t>
  </si>
  <si>
    <t>模型解耦、成本优化、回归、审计</t>
  </si>
  <si>
    <t>完整README+架构图+评测报告+Demo</t>
  </si>
  <si>
    <t>trade-off、故障案例、性能、可维护性</t>
  </si>
  <si>
    <t>30分钟完整答辩</t>
  </si>
  <si>
    <t>第13–14周</t>
  </si>
  <si>
    <t>提交给我 Review 的最小材料</t>
  </si>
  <si>
    <t>代码：GitHub仓库或压缩后的项目目录</t>
  </si>
  <si>
    <t>README：怎么安装、怎么运行、怎么测试</t>
  </si>
  <si>
    <t>你自己的设计说明：为什么这么设计</t>
  </si>
  <si>
    <t>测试结果：pytest / eval / demo</t>
  </si>
  <si>
    <t>你卡住的问题：定位到具体函数/概念，而不是只说“不会”</t>
  </si>
  <si>
    <t>6</t>
  </si>
  <si>
    <t>希望我重点 Review：架构 / Python / LLM / RAG / Agent / 工程化</t>
  </si>
  <si>
    <t>V2.1 · 八斗学院课程大纲融合评估</t>
  </si>
  <si>
    <t>原则：不把八斗 5 阶段、11 项目全部塞入主线；按 LLM 应用开发岗位的就业价值拆分为“吸收进主线 / 作为实验 / 后置加分 / 暂缓”。</t>
  </si>
  <si>
    <t>阶段/主题</t>
  </si>
  <si>
    <t>八斗核心内容</t>
  </si>
  <si>
    <t>V2.1处理</t>
  </si>
  <si>
    <t>安排周</t>
  </si>
  <si>
    <t>学习深度</t>
  </si>
  <si>
    <t>原因/面试价值</t>
  </si>
  <si>
    <t>验收方式</t>
  </si>
  <si>
    <t>基础/表示学习</t>
  </si>
  <si>
    <t>Embedding、Pooling、Norm、Dropout、Adam</t>
  </si>
  <si>
    <t>吸收</t>
  </si>
  <si>
    <t>2-3</t>
  </si>
  <si>
    <t>能解释 + 能做小实验</t>
  </si>
  <si>
    <t>帮助理解 Embedding/训练稳定性，但不走训练工程路线</t>
  </si>
  <si>
    <t>20句 embedding + pooling/normalization 实验</t>
  </si>
  <si>
    <t>基础/Token</t>
  </si>
  <si>
    <t>Token、BPE分词</t>
  </si>
  <si>
    <t>能解释 + 能观察</t>
  </si>
  <si>
    <t>直接影响上下文、成本与切分，是 LLM 应用基础</t>
  </si>
  <si>
    <t>能解释文本→token→模型输入</t>
  </si>
  <si>
    <t>Transformer</t>
  </si>
  <si>
    <t>Self-Attention、Encoder/Decoder、BERT</t>
  </si>
  <si>
    <t>2/14</t>
  </si>
  <si>
    <t>能画图 + 能用自己的话解释</t>
  </si>
  <si>
    <t>面试常问；建立 LLM 原理底座</t>
  </si>
  <si>
    <t>画 QKV + Attention 流程并口述</t>
  </si>
  <si>
    <t>传统 NLP</t>
  </si>
  <si>
    <t>BERT 分类、NER、CRF、Viterbi</t>
  </si>
  <si>
    <t>实验/回查</t>
  </si>
  <si>
    <t>14（面试）</t>
  </si>
  <si>
    <t>跑通 + 知道用途</t>
  </si>
  <si>
    <t>对应用岗位不是主战，但可理解传统 NLP 与 LLM 的差别</t>
  </si>
  <si>
    <t>任选 1 个任务跑通并说清优缺点</t>
  </si>
  <si>
    <t>语义匹配</t>
  </si>
  <si>
    <t>Sentence-BERT、CrossEncoder、FAISS</t>
  </si>
  <si>
    <t>能解释 + 做检索实验</t>
  </si>
  <si>
    <t>直接连接 Embedding Retrieval 与 Rerank</t>
  </si>
  <si>
    <t>Dense vs CrossEncoder 对比实验</t>
  </si>
  <si>
    <t>文档解析、语义分块、混合检索、重排、RAGAS、查询改写</t>
  </si>
  <si>
    <t>完整吸收</t>
  </si>
  <si>
    <t>3-6</t>
  </si>
  <si>
    <t>独立实现 + 优化 + 评测</t>
  </si>
  <si>
    <t>核心就业能力</t>
  </si>
  <si>
    <t>100-300条评测集 + 3轮优化</t>
  </si>
  <si>
    <t>Tool Calling</t>
  </si>
  <si>
    <t>Function Call / MCP / CLI 三方案</t>
  </si>
  <si>
    <t>能手写 loop + 对比架构</t>
  </si>
  <si>
    <t>面试常问，也是 Agent 的基础</t>
  </si>
  <si>
    <t>完成同一工具的 FC / MCP 两种接入</t>
  </si>
  <si>
    <t>ReAct</t>
  </si>
  <si>
    <t>Reason→Action→Observation→Answer</t>
  </si>
  <si>
    <t>补充进主线</t>
  </si>
  <si>
    <t>能手写机制 + 解释局限</t>
  </si>
  <si>
    <t>让你真正理解 Agent 决策循环</t>
  </si>
  <si>
    <t>手写最小 ReAct Agent</t>
  </si>
  <si>
    <t>Memory</t>
  </si>
  <si>
    <t>四层记忆、压缩、定时自主调度</t>
  </si>
  <si>
    <t>吸收核心思想</t>
  </si>
  <si>
    <t>能设计 + 能解释</t>
  </si>
  <si>
    <t>是 Agent 长期运行的关键</t>
  </si>
  <si>
    <t>实现短期/长期两层记忆 + 压缩策略</t>
  </si>
  <si>
    <t>PagedAttention、量化、约束解码、多引擎</t>
  </si>
  <si>
    <t>加深</t>
  </si>
  <si>
    <t>会部署 + 解释定位</t>
  </si>
  <si>
    <t>模型服务能力是高级应用岗位加分项</t>
  </si>
  <si>
    <t>本地/服务器启动 vLLM + OpenAI-compatible API</t>
  </si>
  <si>
    <t>高阶 Agent</t>
  </si>
  <si>
    <t>自进化、Generate-Verify-Filter、DSPy</t>
  </si>
  <si>
    <t>后置加分</t>
  </si>
  <si>
    <t>13/14</t>
  </si>
  <si>
    <t>看懂架构 + 小实验</t>
  </si>
  <si>
    <t>高级能力，不能挤占求职主线</t>
  </si>
  <si>
    <t>写一页设计说明，不要求生产级</t>
  </si>
  <si>
    <t>GraphRAG</t>
  </si>
  <si>
    <t>知识图谱三元组、Text2Cypher、多路混合检索</t>
  </si>
  <si>
    <t>知道适用边界 + 小实验</t>
  </si>
  <si>
    <t>高级 RAG 方向，适合面试扩展</t>
  </si>
  <si>
    <t>做小型 GraphRAG demo + 与普通 RAG 对比</t>
  </si>
  <si>
    <t>模型架构</t>
  </si>
  <si>
    <t>RoPE、SwiGLU、MoE、MLA、长上下文、多模态</t>
  </si>
  <si>
    <t>面试认知</t>
  </si>
  <si>
    <t>14</t>
  </si>
  <si>
    <t>能解释概念与作用</t>
  </si>
  <si>
    <t>有助高级面试，但不需要实现</t>
  </si>
  <si>
    <t>每个主题能用 1-2 分钟讲清</t>
  </si>
  <si>
    <t>强化学习对齐</t>
  </si>
  <si>
    <t>RLHF、PPO、GRPO、DPO、奖励模型</t>
  </si>
  <si>
    <t>14/课后</t>
  </si>
  <si>
    <t>能解释链路</t>
  </si>
  <si>
    <t>对应用岗不是主线</t>
  </si>
  <si>
    <t>能解释 SFT→偏好优化→部署关系</t>
  </si>
  <si>
    <t>分布式训练</t>
  </si>
  <si>
    <t>ZeRO、FSDP、DeepSpeed、并行</t>
  </si>
  <si>
    <t>⚪暂缓</t>
  </si>
  <si>
    <t>只看概念</t>
  </si>
  <si>
    <t>课后</t>
  </si>
  <si>
    <t>知道解决什么问题</t>
  </si>
  <si>
    <t>属于训练/基础设施路线，短期 ROI 低</t>
  </si>
  <si>
    <t>能说明数据/张量/流水线并行的大致区别</t>
  </si>
  <si>
    <t>工程稳定性</t>
  </si>
  <si>
    <t>LLM API 故障转移、健康检测、监控点</t>
  </si>
  <si>
    <t>新增独立工程实验</t>
  </si>
  <si>
    <t>能实现 + 故障注入</t>
  </si>
  <si>
    <t>真实生产环境常见；弥补传统课程工程化不足</t>
  </si>
  <si>
    <t>超时→重试→fallback→health check 故障演练</t>
  </si>
  <si>
    <t>V2.1 · 八斗 11 个实战项目 → 我们的学习体系映射</t>
  </si>
  <si>
    <t>判断标准：项目不是“做过就算”，而是看能否独立解释、修改、测试、定位问题；核心项目必须进入 GitHub 作品集。</t>
  </si>
  <si>
    <t>八斗项目</t>
  </si>
  <si>
    <t>主要能力</t>
  </si>
  <si>
    <t>V2.1归类</t>
  </si>
  <si>
    <t>对应我方模块</t>
  </si>
  <si>
    <t>执行周</t>
  </si>
  <si>
    <t>建议动作</t>
  </si>
  <si>
    <t>必须产出</t>
  </si>
  <si>
    <t>简历用途</t>
  </si>
  <si>
    <t>1 LLM流式聊天Web</t>
  </si>
  <si>
    <t>LLM API、SSE、Flask/服务</t>
  </si>
  <si>
    <t>必做</t>
  </si>
  <si>
    <t>项目1 LLM Chat API</t>
  </si>
  <si>
    <t>1-2</t>
  </si>
  <si>
    <t>完整吸收并用 FastAPI 重写</t>
  </si>
  <si>
    <t>可运行 API + SSE + 测试 + README</t>
  </si>
  <si>
    <t>API设计、async、SSE、错误处理</t>
  </si>
  <si>
    <t>基础项目</t>
  </si>
  <si>
    <t>2 API故障转移与健康检测</t>
  </si>
  <si>
    <t>断路器、故障切换、健康探针</t>
  </si>
  <si>
    <t>工程稳定性实验</t>
  </si>
  <si>
    <t>新增独立实验</t>
  </si>
  <si>
    <t>failure injection + fallback + health check</t>
  </si>
  <si>
    <t>重试边界、幂等、降级、恢复</t>
  </si>
  <si>
    <t>强加分</t>
  </si>
  <si>
    <t>3 中文文本分类</t>
  </si>
  <si>
    <t>BERT/LLM/LoRA</t>
  </si>
  <si>
    <t>实验</t>
  </si>
  <si>
    <t>传统NLP/微调认知</t>
  </si>
  <si>
    <t>二选一小实验</t>
  </si>
  <si>
    <t>模型对比+结论</t>
  </si>
  <si>
    <t>BERT vs LLM vs LoRA</t>
  </si>
  <si>
    <t>面试辅助</t>
  </si>
  <si>
    <t>4 中文NER</t>
  </si>
  <si>
    <t>BERT+CRF+Viterbi / LLM</t>
  </si>
  <si>
    <t>传统NLP认知</t>
  </si>
  <si>
    <t>跑通一种方案即可</t>
  </si>
  <si>
    <t>小数据集+结果</t>
  </si>
  <si>
    <t>BIO/CRF 与 LLM 提取差异</t>
  </si>
  <si>
    <t>5 语义文本匹配</t>
  </si>
  <si>
    <t>Bi-Encoder/CrossEncoder/FAISS</t>
  </si>
  <si>
    <t>重点实验</t>
  </si>
  <si>
    <t>Embedding+Rerank</t>
  </si>
  <si>
    <t>做检索/排序对比</t>
  </si>
  <si>
    <t>Recall/Precision + 排序结果</t>
  </si>
  <si>
    <t>为什么二阶段检索</t>
  </si>
  <si>
    <t>核心技术证据</t>
  </si>
  <si>
    <t>6 vLLM私有化推理与约束解码</t>
  </si>
  <si>
    <t>vLLM/PagedAttention/量化</t>
  </si>
  <si>
    <t>重点工程</t>
  </si>
  <si>
    <t>部署并接入 Gateway</t>
  </si>
  <si>
    <t>启动脚本+API+性能记录</t>
  </si>
  <si>
    <t>TTFT/TPOT、并发、OpenAI兼容</t>
  </si>
  <si>
    <t>7 年报企业级RAG问答</t>
  </si>
  <si>
    <t>多模态PDF、分层分块、Hybrid、RAGAS</t>
  </si>
  <si>
    <t>核心项目</t>
  </si>
  <si>
    <t>Production RAG</t>
  </si>
  <si>
    <t>作为企业知识库主项目的数据场景</t>
  </si>
  <si>
    <t>完整RAG + 评测报告</t>
  </si>
  <si>
    <t>召回、重排、证据链</t>
  </si>
  <si>
    <t>旗舰候选</t>
  </si>
  <si>
    <t>8 FC/MCP/CLI对比</t>
  </si>
  <si>
    <t>工具接入方式</t>
  </si>
  <si>
    <t>必做实验</t>
  </si>
  <si>
    <t>Tool Calling + MCP</t>
  </si>
  <si>
    <t>同一工具做两种接入</t>
  </si>
  <si>
    <t>对比表 + demo</t>
  </si>
  <si>
    <t>边界、复用、安全</t>
  </si>
  <si>
    <t>面试加分</t>
  </si>
  <si>
    <t>9 ReAct金融多轮Agent</t>
  </si>
  <si>
    <t>ReAct、Action-Observation</t>
  </si>
  <si>
    <t>Agent/LangGraph</t>
  </si>
  <si>
    <t>抽象成通用企业Agent</t>
  </si>
  <si>
    <t>workflow图+失败案例</t>
  </si>
  <si>
    <t>Agent vs Workflow</t>
  </si>
  <si>
    <t>10 四层记忆与自主调度</t>
  </si>
  <si>
    <t>Memory、压缩、定时调度</t>
  </si>
  <si>
    <t>Agent Memory</t>
  </si>
  <si>
    <t>只实现必要两层记忆+调度</t>
  </si>
  <si>
    <t>设计文档+demo</t>
  </si>
  <si>
    <t>记忆写入/召回/压缩</t>
  </si>
  <si>
    <t>加分</t>
  </si>
  <si>
    <t>11 自进化Skill Agent</t>
  </si>
  <si>
    <t>Skill、自我评估、迭代闭环</t>
  </si>
  <si>
    <t>高级Agent/Skill</t>
  </si>
  <si>
    <t>13-14</t>
  </si>
  <si>
    <t>小实验/架构设计，不做大项目</t>
  </si>
  <si>
    <t>设计图+最小demo</t>
  </si>
  <si>
    <t>Evaluation闭环与安全边界</t>
  </si>
  <si>
    <t>V2.1 · LLM Application Engineer 能力验收矩阵</t>
  </si>
  <si>
    <t>毕业不是“看完视频”，而是每项能力都有证据：代码 / 实验 / 项目 / 面试四类证据。达到“毕业门槛”后才算通过。</t>
  </si>
  <si>
    <t>能力域</t>
  </si>
  <si>
    <t>能力点</t>
  </si>
  <si>
    <t>知识要求</t>
  </si>
  <si>
    <t>代码证据</t>
  </si>
  <si>
    <t>实验/数据证据</t>
  </si>
  <si>
    <t>项目证据</t>
  </si>
  <si>
    <t>面试追问</t>
  </si>
  <si>
    <t>毕业门槛</t>
  </si>
  <si>
    <t>Python后端</t>
  </si>
  <si>
    <t>理解 event loop、IO 等待、timeout</t>
  </si>
  <si>
    <t>能写 async API 与并发请求</t>
  </si>
  <si>
    <t>10次并发/超时实验</t>
  </si>
  <si>
    <t>项目中使用 async client</t>
  </si>
  <si>
    <t>async 为什么能提高 IO 场景吞吐？</t>
  </si>
  <si>
    <t>可解释 + 可排障</t>
  </si>
  <si>
    <t>FastAPI/Pydantic/SSE</t>
  </si>
  <si>
    <t>请求校验、依赖注入、Streaming</t>
  </si>
  <si>
    <t>独立写 /chat /health /stream</t>
  </si>
  <si>
    <t>异常/断开/心跳实验</t>
  </si>
  <si>
    <t>项目1与旗舰</t>
  </si>
  <si>
    <t>SSE 与 WebSocket 何时选？</t>
  </si>
  <si>
    <t>90分钟独立写核心版</t>
  </si>
  <si>
    <t>Token/Context/参数</t>
  </si>
  <si>
    <t>token、context window、temperature 等</t>
  </si>
  <si>
    <t>调用API并统计token</t>
  </si>
  <si>
    <t>参数变化对输出实验</t>
  </si>
  <si>
    <t>模型Gateway</t>
  </si>
  <si>
    <t>temperature 为什么不是“更聪明”？</t>
  </si>
  <si>
    <t>能准确解释</t>
  </si>
  <si>
    <t>Transformer/Attention</t>
  </si>
  <si>
    <t>QKV、Self-Attention、Position</t>
  </si>
  <si>
    <t>能读并修改简单 attention 示例</t>
  </si>
  <si>
    <t>可视化/小实验</t>
  </si>
  <si>
    <t>旗舰技术说明</t>
  </si>
  <si>
    <t>为什么要QKV？为什么需要位置编码？</t>
  </si>
  <si>
    <t>3分钟讲清</t>
  </si>
  <si>
    <t>Structured Output</t>
  </si>
  <si>
    <t>Schema、验证、失败重试</t>
  </si>
  <si>
    <t>Pydantic结构化输出</t>
  </si>
  <si>
    <t>坏JSON/重试实验</t>
  </si>
  <si>
    <t>内容分析服务</t>
  </si>
  <si>
    <t>如何保证 JSON 稳定？</t>
  </si>
  <si>
    <t>可落地</t>
  </si>
  <si>
    <t>Embedding/Similarity/TopK</t>
  </si>
  <si>
    <t>向量、归一化、cosine/dot</t>
  </si>
  <si>
    <t>手写top-k</t>
  </si>
  <si>
    <t>不同embedding/距离实验</t>
  </si>
  <si>
    <t>RAG Lab</t>
  </si>
  <si>
    <t>归一化后为什么 dot≈cosine？</t>
  </si>
  <si>
    <t>能手写+解释</t>
  </si>
  <si>
    <t>Chunk/Parsing/Metadata</t>
  </si>
  <si>
    <t>分块策略、来源、页码、权限</t>
  </si>
  <si>
    <t>实现 ingestion</t>
  </si>
  <si>
    <t>3种chunk对比</t>
  </si>
  <si>
    <t>企业知识库</t>
  </si>
  <si>
    <t>chunk太大/太小会怎样？</t>
  </si>
  <si>
    <t>Hybrid/Rerank/Query Rewrite</t>
  </si>
  <si>
    <t>Dense+BM25、二阶段排序、查询改写</t>
  </si>
  <si>
    <t>实现并接入</t>
  </si>
  <si>
    <t>3轮实验及指标</t>
  </si>
  <si>
    <t>Rerank 为什么不是多此一举？</t>
  </si>
  <si>
    <t>有数据证明收益</t>
  </si>
  <si>
    <t>dataset、Recall/Precision、groundedness</t>
  </si>
  <si>
    <t>自动评测脚本</t>
  </si>
  <si>
    <t>100-300条评测集</t>
  </si>
  <si>
    <t>旗舰项目回归</t>
  </si>
  <si>
    <t>如何判断一次优化真的有效？</t>
  </si>
  <si>
    <t>可重复跑</t>
  </si>
  <si>
    <t>schema、arguments、tool result loop</t>
  </si>
  <si>
    <t>不依赖框架手写loop</t>
  </si>
  <si>
    <t>正常/错误tool分支</t>
  </si>
  <si>
    <t>Agent项目</t>
  </si>
  <si>
    <t>模型如何决定调用哪个工具？</t>
  </si>
  <si>
    <t>独立实现</t>
  </si>
  <si>
    <t>ReAct/Workflow</t>
  </si>
  <si>
    <t>Reason-Action-Observation、固定图</t>
  </si>
  <si>
    <t>最小ReAct + workflow</t>
  </si>
  <si>
    <t>失败案例对比</t>
  </si>
  <si>
    <t>什么时候不用Agent？</t>
  </si>
  <si>
    <t>能独立写workflow</t>
  </si>
  <si>
    <t>中断/恢复实验</t>
  </si>
  <si>
    <t>State如何设计？</t>
  </si>
  <si>
    <t>能白板设计</t>
  </si>
  <si>
    <t>Client/Server/Tools/Resources/Prompts</t>
  </si>
  <si>
    <t>独立MCP Server</t>
  </si>
  <si>
    <t>FC vs MCP对比</t>
  </si>
  <si>
    <t>MCP解决什么问题？</t>
  </si>
  <si>
    <t>能实现+解释</t>
  </si>
  <si>
    <t>短期/长期/压缩/写入策略</t>
  </si>
  <si>
    <t>两层记忆</t>
  </si>
  <si>
    <t>历史压缩对token影响</t>
  </si>
  <si>
    <t>什么时候记忆？</t>
  </si>
  <si>
    <t>能设计策略</t>
  </si>
  <si>
    <t>PostgreSQL/Redis</t>
  </si>
  <si>
    <t>SQL/索引/事务/缓存/session</t>
  </si>
  <si>
    <t>CRUD+缓存</t>
  </si>
  <si>
    <t>命中率/索引实验</t>
  </si>
  <si>
    <t>知识库项目</t>
  </si>
  <si>
    <t>缓存一致性怎么处理？</t>
  </si>
  <si>
    <t>会用+会排障</t>
  </si>
  <si>
    <t>镜像、容器、Compose、日志</t>
  </si>
  <si>
    <t>一键启动</t>
  </si>
  <si>
    <t>容器故障排查</t>
  </si>
  <si>
    <t>全部项目</t>
  </si>
  <si>
    <t>生产环境怎么部署？</t>
  </si>
  <si>
    <t>陌生人照README可运行</t>
  </si>
  <si>
    <t>可靠性/安全</t>
  </si>
  <si>
    <t>retry、timeout、fallback、鉴权、限流、prompt injection</t>
  </si>
  <si>
    <t>中间件/白名单/审计</t>
  </si>
  <si>
    <t>failure injection</t>
  </si>
  <si>
    <t>模型挂了怎么办？工具被注入怎么办？</t>
  </si>
  <si>
    <t>至少1次故障演练</t>
  </si>
  <si>
    <t>Ollama/vLLM/OpenAI兼容</t>
  </si>
  <si>
    <t>推理服务与应用解耦</t>
  </si>
  <si>
    <t>能启动并接入Gateway</t>
  </si>
  <si>
    <t>TTFT/并发基础实验</t>
  </si>
  <si>
    <t>Model Gateway</t>
  </si>
  <si>
    <t>为什么要OpenAI兼容层？</t>
  </si>
  <si>
    <t>能部署+解释</t>
  </si>
  <si>
    <t>项目/系统设计/表达</t>
  </si>
  <si>
    <t>STAR、trade-off、量化指标</t>
  </si>
  <si>
    <t>README/架构图</t>
  </si>
  <si>
    <t>评测报告</t>
  </si>
  <si>
    <t>为什么选A不选B？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</si>
</sst>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32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1F1F1F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i/>
      <sz val="11"/>
      <color rgb="FF9A3412"/>
      <name val="Carlito"/>
      <charset val="134"/>
    </font>
    <font>
      <sz val="11"/>
      <color rgb="FF2563EB"/>
      <name val="Carlito"/>
      <charset val="134"/>
    </font>
    <font>
      <b/>
      <sz val="16"/>
      <color rgb="FFFFFFFF"/>
      <name val="Carlito"/>
      <charset val="134"/>
    </font>
    <font>
      <b/>
      <sz val="11"/>
      <color rgb="FF174A63"/>
      <name val="Carlito"/>
      <charset val="134"/>
    </font>
    <font>
      <b/>
      <sz val="11"/>
      <color rgb="FF1F2937"/>
      <name val="Carlito"/>
      <charset val="134"/>
    </font>
    <font>
      <b/>
      <sz val="11"/>
      <color rgb="FF11182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0F4C75"/>
        <bgColor indexed="64"/>
      </patternFill>
    </fill>
    <fill>
      <patternFill patternType="solid">
        <fgColor rgb="FFE8F1F8"/>
        <bgColor indexed="64"/>
      </patternFill>
    </fill>
    <fill>
      <patternFill patternType="solid">
        <fgColor rgb="FF164E7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0F3D5E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CEA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4" applyNumberFormat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4" borderId="4" applyNumberFormat="0" applyAlignment="0" applyProtection="0">
      <alignment vertical="center"/>
    </xf>
    <xf numFmtId="0" fontId="24" fillId="1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0" fillId="0" borderId="0"/>
  </cellStyleXfs>
  <cellXfs count="37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0" xfId="49" applyNumberFormat="1" applyFont="1" applyFill="1" applyAlignment="1">
      <alignment horizontal="center" vertical="top" wrapText="1"/>
    </xf>
    <xf numFmtId="0" fontId="0" fillId="0" borderId="0" xfId="49" applyNumberFormat="1" applyFont="1" applyFill="1" applyAlignment="1">
      <alignment vertical="top" wrapText="1"/>
    </xf>
    <xf numFmtId="0" fontId="3" fillId="4" borderId="0" xfId="49" applyNumberFormat="1" applyFont="1" applyFill="1" applyAlignment="1">
      <alignment horizontal="center" vertical="center" wrapText="1"/>
    </xf>
    <xf numFmtId="0" fontId="4" fillId="5" borderId="0" xfId="49" applyNumberFormat="1" applyFont="1" applyFill="1" applyBorder="1" applyAlignment="1">
      <alignment horizontal="center" vertical="center"/>
    </xf>
    <xf numFmtId="0" fontId="5" fillId="6" borderId="0" xfId="49" applyNumberFormat="1" applyFont="1" applyFill="1" applyBorder="1" applyAlignment="1">
      <alignment wrapText="1"/>
    </xf>
    <xf numFmtId="0" fontId="3" fillId="7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3" fillId="7" borderId="0" xfId="49" applyNumberFormat="1" applyFont="1" applyFill="1" applyBorder="1"/>
    <xf numFmtId="0" fontId="5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6" fillId="8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horizontal="center" vertical="top" wrapText="1"/>
    </xf>
    <xf numFmtId="0" fontId="7" fillId="0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/>
    </xf>
    <xf numFmtId="0" fontId="0" fillId="0" borderId="0" xfId="49" applyNumberFormat="1" applyFont="1" applyFill="1" applyBorder="1" applyAlignment="1">
      <alignment vertical="top"/>
    </xf>
    <xf numFmtId="0" fontId="0" fillId="0" borderId="0" xfId="49" applyNumberFormat="1" applyFont="1" applyFill="1" applyBorder="1" applyAlignment="1">
      <alignment horizontal="center" vertical="top"/>
    </xf>
    <xf numFmtId="0" fontId="8" fillId="9" borderId="0" xfId="49" applyNumberFormat="1" applyFont="1" applyFill="1" applyBorder="1" applyAlignment="1">
      <alignment horizontal="center" vertical="center"/>
    </xf>
    <xf numFmtId="0" fontId="3" fillId="2" borderId="0" xfId="49" applyNumberFormat="1" applyFont="1" applyFill="1" applyBorder="1" applyAlignment="1">
      <alignment horizontal="center" vertical="center" wrapText="1"/>
    </xf>
    <xf numFmtId="0" fontId="3" fillId="2" borderId="0" xfId="49" applyNumberFormat="1" applyFont="1" applyFill="1" applyBorder="1" applyAlignment="1">
      <alignment horizontal="center" vertical="top" wrapText="1"/>
    </xf>
    <xf numFmtId="176" fontId="0" fillId="0" borderId="0" xfId="49" applyNumberFormat="1" applyFont="1" applyFill="1" applyBorder="1" applyAlignment="1">
      <alignment vertical="top" wrapText="1"/>
    </xf>
    <xf numFmtId="177" fontId="0" fillId="0" borderId="0" xfId="49" applyNumberFormat="1" applyFont="1" applyFill="1" applyBorder="1" applyAlignment="1">
      <alignment vertical="top" wrapText="1"/>
    </xf>
    <xf numFmtId="0" fontId="7" fillId="0" borderId="0" xfId="49" applyNumberFormat="1" applyFont="1" applyFill="1" applyBorder="1" applyAlignment="1">
      <alignment horizontal="center" vertical="center" wrapText="1"/>
    </xf>
    <xf numFmtId="0" fontId="8" fillId="5" borderId="0" xfId="49" applyNumberFormat="1" applyFont="1" applyFill="1" applyBorder="1" applyAlignment="1">
      <alignment horizontal="center" vertical="center" wrapText="1"/>
    </xf>
    <xf numFmtId="0" fontId="9" fillId="10" borderId="0" xfId="49" applyNumberFormat="1" applyFont="1" applyFill="1" applyBorder="1" applyAlignment="1">
      <alignment wrapText="1"/>
    </xf>
    <xf numFmtId="0" fontId="10" fillId="6" borderId="0" xfId="49" applyNumberFormat="1" applyFont="1" applyFill="1" applyBorder="1" applyAlignment="1">
      <alignment vertical="center" wrapText="1"/>
    </xf>
    <xf numFmtId="9" fontId="0" fillId="0" borderId="0" xfId="49" applyNumberFormat="1" applyFont="1" applyFill="1" applyBorder="1"/>
    <xf numFmtId="0" fontId="11" fillId="11" borderId="0" xfId="49" applyNumberFormat="1" applyFont="1" applyFill="1" applyBorder="1" applyAlignment="1">
      <alignment vertical="center" wrapText="1"/>
    </xf>
    <xf numFmtId="9" fontId="0" fillId="0" borderId="0" xfId="49" applyNumberFormat="1" applyFont="1" applyFill="1" applyBorder="1" applyAlignment="1">
      <alignment wrapText="1"/>
    </xf>
    <xf numFmtId="177" fontId="0" fillId="0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horizontal="center" wrapText="1"/>
    </xf>
    <xf numFmtId="0" fontId="5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14周完成率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"完成率"</c:f>
              <c:strCache>
                <c:ptCount val="1"/>
                <c:pt idx="0">
                  <c:v>完成率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首页_总览!$N$3:$N$16</c:f>
              <c:strCache>
                <c:ptCount val="14"/>
                <c:pt idx="0">
                  <c:v>1</c:v>
                </c:pt>
                <c:pt idx="1">
                  <c:v>周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首页_总览!$O$3:$O$16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6bfa94a-10fe-449e-b629-c869afc07581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3</xdr:row>
      <xdr:rowOff>0</xdr:rowOff>
    </xdr:from>
    <xdr:to>
      <xdr:col>21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8755360" y="807720"/>
        <a:ext cx="6477000" cy="928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ilyPlanTable" displayName="DailyPlanTable" ref="A2:N100" totalsRowShown="0">
  <tableColumns count="14">
    <tableColumn id="1" name="Day"/>
    <tableColumn id="2" name="日期"/>
    <tableColumn id="3" name="周"/>
    <tableColumn id="4" name="星期"/>
    <tableColumn id="5" name="阶段"/>
    <tableColumn id="6" name="本周重点"/>
    <tableColumn id="7" name="优先级"/>
    <tableColumn id="8" name="今日必须完成"/>
    <tableColumn id="9" name="今日产出"/>
    <tableColumn id="10" name="课程索引"/>
    <tableColumn id="11" name="验收标准"/>
    <tableColumn id="12" name="状态"/>
    <tableColumn id="13" name="计划小时"/>
    <tableColumn id="14" name="实际记录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eklyPlanTable" displayName="WeeklyPlanTable" ref="A2:H16" totalsRowShown="0">
  <tableColumns count="8">
    <tableColumn id="1" name="周"/>
    <tableColumn id="2" name="阶段"/>
    <tableColumn id="3" name="核心重点"/>
    <tableColumn id="4" name="本周目标"/>
    <tableColumn id="5" name="必须交付"/>
    <tableColumn id="6" name="闸门验收"/>
    <tableColumn id="7" name="建议课程"/>
    <tableColumn id="8" name="求职动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2ResourceTable" displayName="V2ResourceTable" ref="A4:I34" totalsRowShown="0">
  <tableColumns count="9">
    <tableColumn id="1" name="ID"/>
    <tableColumn id="2" name="类型"/>
    <tableColumn id="3" name="资源名称"/>
    <tableColumn id="4" name="级别"/>
    <tableColumn id="5" name="推荐周"/>
    <tableColumn id="6" name="重点章节 / 学习动作"/>
    <tableColumn id="7" name="为什么纳入"/>
    <tableColumn id="8" name="链接"/>
    <tableColumn id="9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adowFusionTable" displayName="BadowFusionTable" ref="A4:H20" totalsRowShown="0">
  <tableColumns count="8">
    <tableColumn id="1" name="阶段/主题"/>
    <tableColumn id="2" name="八斗核心内容"/>
    <tableColumn id="3" name="优先级"/>
    <tableColumn id="4" name="V2.1处理"/>
    <tableColumn id="5" name="安排周"/>
    <tableColumn id="6" name="学习深度"/>
    <tableColumn id="7" name="原因/面试价值"/>
    <tableColumn id="8" name="验收方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dowProjectMapTable" displayName="BadowProjectMapTable" ref="A4:J15" totalsRowShown="0">
  <tableColumns count="10">
    <tableColumn id="1" name="八斗项目"/>
    <tableColumn id="2" name="主要能力"/>
    <tableColumn id="3" name="V2.1归类"/>
    <tableColumn id="4" name="对应我方模块"/>
    <tableColumn id="5" name="执行周"/>
    <tableColumn id="6" name="建议动作"/>
    <tableColumn id="7" name="必须产出"/>
    <tableColumn id="8" name="Review重点"/>
    <tableColumn id="9" name="简历用途"/>
    <tableColumn id="10" name="状态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adowCapabilityTable" displayName="BadowCapabilityTable" ref="A4:I23" totalsRowShown="0">
  <tableColumns count="9">
    <tableColumn id="1" name="能力域"/>
    <tableColumn id="2" name="能力点"/>
    <tableColumn id="3" name="级别"/>
    <tableColumn id="4" name="知识要求"/>
    <tableColumn id="5" name="代码证据"/>
    <tableColumn id="6" name="实验/数据证据"/>
    <tableColumn id="7" name="项目证据"/>
    <tableColumn id="8" name="面试追问"/>
    <tableColumn id="9" name="毕业门槛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4"/>
  <sheetViews>
    <sheetView topLeftCell="A7" workbookViewId="0">
      <selection activeCell="D11" sqref="D11"/>
    </sheetView>
  </sheetViews>
  <sheetFormatPr defaultColWidth="9" defaultRowHeight="16.8"/>
  <cols>
    <col min="1" max="1" width="16.1764705882353" customWidth="1"/>
    <col min="2" max="2" width="18" customWidth="1"/>
    <col min="3" max="3" width="34" customWidth="1"/>
    <col min="4" max="4" width="44" customWidth="1"/>
    <col min="5" max="6" width="14" customWidth="1"/>
    <col min="7" max="10" width="12" customWidth="1"/>
    <col min="11" max="12" width="10" customWidth="1"/>
    <col min="14" max="14" width="9" customWidth="1"/>
    <col min="15" max="15" width="12" customWidth="1"/>
  </cols>
  <sheetData>
    <row r="1" ht="30" customHeight="1" spans="1:1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N2" t="s">
        <v>2</v>
      </c>
      <c r="O2" t="s">
        <v>3</v>
      </c>
    </row>
    <row r="3" spans="1:15">
      <c r="A3" s="30" t="s">
        <v>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N3">
        <v>1</v>
      </c>
      <c r="O3" s="31">
        <f>G11</f>
        <v>0</v>
      </c>
    </row>
    <row r="4" ht="17" spans="1:15">
      <c r="A4" s="23" t="s">
        <v>5</v>
      </c>
      <c r="B4" s="23" t="s">
        <v>6</v>
      </c>
      <c r="C4" s="23" t="s">
        <v>7</v>
      </c>
      <c r="D4" s="23" t="s">
        <v>8</v>
      </c>
      <c r="E4" s="15"/>
      <c r="F4" s="32" t="s">
        <v>9</v>
      </c>
      <c r="G4" s="32"/>
      <c r="H4" s="32"/>
      <c r="I4" s="32"/>
      <c r="J4" s="23" t="s">
        <v>10</v>
      </c>
      <c r="K4" s="23" t="s">
        <v>11</v>
      </c>
      <c r="L4" s="23" t="s">
        <v>12</v>
      </c>
      <c r="N4" t="s">
        <v>2</v>
      </c>
      <c r="O4" s="31" t="s">
        <v>3</v>
      </c>
    </row>
    <row r="5" ht="51" spans="1:15">
      <c r="A5" s="15" t="s">
        <v>13</v>
      </c>
      <c r="B5" s="15">
        <f>COUNTA(每日计划!$A$3:$A$100)</f>
        <v>98</v>
      </c>
      <c r="C5" s="15">
        <v>98</v>
      </c>
      <c r="D5" s="15" t="s">
        <v>14</v>
      </c>
      <c r="E5" s="15"/>
      <c r="F5" s="15" t="s">
        <v>15</v>
      </c>
      <c r="G5" s="15" t="s">
        <v>16</v>
      </c>
      <c r="H5" s="15" t="s">
        <v>17</v>
      </c>
      <c r="I5" s="15" t="s">
        <v>17</v>
      </c>
      <c r="J5" s="15" t="s">
        <v>18</v>
      </c>
      <c r="K5" s="15">
        <f>COUNTIF(每日计划!$L$3:$L$100,J5)</f>
        <v>98</v>
      </c>
      <c r="L5" s="33">
        <f>K5/$B$5</f>
        <v>1</v>
      </c>
      <c r="N5">
        <v>3</v>
      </c>
      <c r="O5" s="31">
        <f t="shared" ref="O5:O16" si="0">G13</f>
        <v>0</v>
      </c>
    </row>
    <row r="6" ht="68" spans="1:15">
      <c r="A6" s="15" t="s">
        <v>19</v>
      </c>
      <c r="B6" s="34">
        <f>SUM(每日计划!$M$3:$M$100)</f>
        <v>812</v>
      </c>
      <c r="C6" s="15">
        <v>800</v>
      </c>
      <c r="D6" s="15" t="s">
        <v>20</v>
      </c>
      <c r="E6" s="15"/>
      <c r="F6" s="15" t="s">
        <v>21</v>
      </c>
      <c r="G6" s="15" t="s">
        <v>22</v>
      </c>
      <c r="H6" s="15" t="s">
        <v>17</v>
      </c>
      <c r="I6" s="15" t="s">
        <v>17</v>
      </c>
      <c r="J6" s="15" t="s">
        <v>23</v>
      </c>
      <c r="K6" s="15">
        <f>COUNTIF(每日计划!$L$3:$L$100,J6)</f>
        <v>0</v>
      </c>
      <c r="L6" s="33">
        <f>K6/$B$5</f>
        <v>0</v>
      </c>
      <c r="N6">
        <v>4</v>
      </c>
      <c r="O6" s="31">
        <f t="shared" si="0"/>
        <v>0</v>
      </c>
    </row>
    <row r="7" ht="51" spans="1:15">
      <c r="A7" s="15" t="s">
        <v>24</v>
      </c>
      <c r="B7" s="15">
        <f>COUNTIF(V2_项目Review!$J$4:$J$9,"通过")</f>
        <v>0</v>
      </c>
      <c r="C7" s="15">
        <v>3</v>
      </c>
      <c r="D7" s="15" t="s">
        <v>25</v>
      </c>
      <c r="E7" s="15"/>
      <c r="F7" s="15" t="s">
        <v>26</v>
      </c>
      <c r="G7" s="15" t="s">
        <v>27</v>
      </c>
      <c r="H7" s="15" t="s">
        <v>17</v>
      </c>
      <c r="I7" s="15" t="s">
        <v>17</v>
      </c>
      <c r="J7" s="15" t="s">
        <v>28</v>
      </c>
      <c r="K7" s="15">
        <f>COUNTIF(每日计划!$L$3:$L$100,J7)</f>
        <v>0</v>
      </c>
      <c r="L7" s="33">
        <f>K7/$B$5</f>
        <v>0</v>
      </c>
      <c r="N7">
        <v>5</v>
      </c>
      <c r="O7" s="31">
        <f t="shared" si="0"/>
        <v>0</v>
      </c>
    </row>
    <row r="8" ht="51" spans="1:15">
      <c r="A8" s="15"/>
      <c r="B8" s="15"/>
      <c r="C8" s="15"/>
      <c r="D8" s="15"/>
      <c r="E8" s="15"/>
      <c r="F8" s="15" t="s">
        <v>29</v>
      </c>
      <c r="G8" s="15" t="s">
        <v>30</v>
      </c>
      <c r="H8" s="15" t="s">
        <v>17</v>
      </c>
      <c r="I8" s="15" t="s">
        <v>17</v>
      </c>
      <c r="J8" s="15" t="s">
        <v>31</v>
      </c>
      <c r="K8" s="15">
        <f>COUNTIF(每日计划!$L$3:$L$100,J8)</f>
        <v>0</v>
      </c>
      <c r="L8" s="33">
        <f>K8/$B$5</f>
        <v>0</v>
      </c>
      <c r="N8">
        <v>6</v>
      </c>
      <c r="O8" s="31">
        <f t="shared" si="0"/>
        <v>0</v>
      </c>
    </row>
    <row r="9" ht="68" spans="1:15">
      <c r="A9" s="15"/>
      <c r="B9" s="15"/>
      <c r="C9" s="15"/>
      <c r="D9" s="15"/>
      <c r="E9" s="15"/>
      <c r="F9" s="15" t="s">
        <v>32</v>
      </c>
      <c r="G9" s="15" t="s">
        <v>33</v>
      </c>
      <c r="H9" s="15" t="s">
        <v>17</v>
      </c>
      <c r="I9" s="15" t="s">
        <v>17</v>
      </c>
      <c r="J9" s="15"/>
      <c r="K9" s="15"/>
      <c r="L9" s="15"/>
      <c r="N9">
        <v>7</v>
      </c>
      <c r="O9" s="31">
        <f t="shared" si="0"/>
        <v>0</v>
      </c>
    </row>
    <row r="10" ht="17" spans="1:15">
      <c r="A10" s="23" t="s">
        <v>34</v>
      </c>
      <c r="B10" s="23" t="s">
        <v>35</v>
      </c>
      <c r="C10" s="23" t="s">
        <v>36</v>
      </c>
      <c r="D10" s="23" t="s">
        <v>37</v>
      </c>
      <c r="E10" s="23" t="s">
        <v>38</v>
      </c>
      <c r="F10" s="23" t="s">
        <v>39</v>
      </c>
      <c r="G10" s="23" t="s">
        <v>3</v>
      </c>
      <c r="H10" s="15"/>
      <c r="I10" s="15"/>
      <c r="J10" s="15"/>
      <c r="K10" s="15"/>
      <c r="L10" s="15"/>
      <c r="N10">
        <v>8</v>
      </c>
      <c r="O10" s="31">
        <f t="shared" si="0"/>
        <v>0</v>
      </c>
    </row>
    <row r="11" ht="34" spans="1:15">
      <c r="A11" s="35">
        <v>1</v>
      </c>
      <c r="B11" s="15" t="s">
        <v>40</v>
      </c>
      <c r="C11" s="15" t="s">
        <v>41</v>
      </c>
      <c r="D11" s="15" t="s">
        <v>42</v>
      </c>
      <c r="E11" s="15" t="s">
        <v>43</v>
      </c>
      <c r="F11" s="15" t="str">
        <f>IF(G11=1,"完成",IF(COUNTIF(每日计划!$L$3:$L$9,"进行中")&gt;0,"进行中","未开始"))</f>
        <v>未开始</v>
      </c>
      <c r="G11" s="33">
        <f>COUNTIF(每日计划!$L$3:$L$9,"完成")/7</f>
        <v>0</v>
      </c>
      <c r="H11" s="15"/>
      <c r="I11" s="15"/>
      <c r="J11" s="15"/>
      <c r="K11" s="15"/>
      <c r="L11" s="15"/>
      <c r="N11">
        <v>9</v>
      </c>
      <c r="O11" s="31">
        <f t="shared" si="0"/>
        <v>0</v>
      </c>
    </row>
    <row r="12" ht="51" spans="1:15">
      <c r="A12" s="35">
        <v>2</v>
      </c>
      <c r="B12" s="15" t="s">
        <v>44</v>
      </c>
      <c r="C12" s="15" t="s">
        <v>45</v>
      </c>
      <c r="D12" s="15" t="s">
        <v>46</v>
      </c>
      <c r="E12" s="15" t="s">
        <v>47</v>
      </c>
      <c r="F12" s="15" t="str">
        <f>IF(G12=1,"完成",IF(COUNTIF(每日计划!$L$10:$L$16,"进行中")&gt;0,"进行中","未开始"))</f>
        <v>未开始</v>
      </c>
      <c r="G12" s="33">
        <f>COUNTIF(每日计划!$L$10:$L$16,"完成")/7</f>
        <v>0</v>
      </c>
      <c r="H12" s="15"/>
      <c r="I12" s="15"/>
      <c r="J12" s="15"/>
      <c r="K12" s="15"/>
      <c r="L12" s="15"/>
      <c r="N12">
        <v>10</v>
      </c>
      <c r="O12" s="31">
        <f t="shared" si="0"/>
        <v>0</v>
      </c>
    </row>
    <row r="13" ht="51" spans="1:15">
      <c r="A13" s="35">
        <v>3</v>
      </c>
      <c r="B13" s="15" t="s">
        <v>48</v>
      </c>
      <c r="C13" s="15" t="s">
        <v>49</v>
      </c>
      <c r="D13" s="15" t="s">
        <v>50</v>
      </c>
      <c r="E13" s="15" t="s">
        <v>51</v>
      </c>
      <c r="F13" s="15" t="str">
        <f>IF(G13=1,"完成",IF(COUNTIF(每日计划!$L$17:$L$23,"进行中")&gt;0,"进行中","未开始"))</f>
        <v>未开始</v>
      </c>
      <c r="G13" s="33">
        <f>COUNTIF(每日计划!$L$17:$L$23,"完成")/7</f>
        <v>0</v>
      </c>
      <c r="H13" s="15"/>
      <c r="I13" s="15"/>
      <c r="J13" s="15"/>
      <c r="K13" s="15"/>
      <c r="L13" s="15"/>
      <c r="N13">
        <v>11</v>
      </c>
      <c r="O13" s="31">
        <f t="shared" si="0"/>
        <v>0</v>
      </c>
    </row>
    <row r="14" ht="51" spans="1:15">
      <c r="A14" s="35">
        <v>4</v>
      </c>
      <c r="B14" s="15" t="s">
        <v>52</v>
      </c>
      <c r="C14" s="15" t="s">
        <v>53</v>
      </c>
      <c r="D14" s="15" t="s">
        <v>54</v>
      </c>
      <c r="E14" s="15" t="s">
        <v>55</v>
      </c>
      <c r="F14" s="15" t="str">
        <f>IF(G14=1,"完成",IF(COUNTIF(每日计划!$L$24:$L$30,"进行中")&gt;0,"进行中","未开始"))</f>
        <v>未开始</v>
      </c>
      <c r="G14" s="33">
        <f>COUNTIF(每日计划!$L$24:$L$30,"完成")/7</f>
        <v>0</v>
      </c>
      <c r="H14" s="15"/>
      <c r="I14" s="15"/>
      <c r="J14" s="15"/>
      <c r="K14" s="15"/>
      <c r="L14" s="15"/>
      <c r="N14">
        <v>12</v>
      </c>
      <c r="O14" s="31">
        <f t="shared" si="0"/>
        <v>0</v>
      </c>
    </row>
    <row r="15" ht="68" spans="1:15">
      <c r="A15" s="35">
        <v>5</v>
      </c>
      <c r="B15" s="15" t="s">
        <v>56</v>
      </c>
      <c r="C15" s="15" t="s">
        <v>57</v>
      </c>
      <c r="D15" s="15" t="s">
        <v>58</v>
      </c>
      <c r="E15" s="15" t="s">
        <v>59</v>
      </c>
      <c r="F15" s="15" t="str">
        <f>IF(G15=1,"完成",IF(COUNTIF(每日计划!$L$31:$L$37,"进行中")&gt;0,"进行中","未开始"))</f>
        <v>未开始</v>
      </c>
      <c r="G15" s="33">
        <f>COUNTIF(每日计划!$L$31:$L$37,"完成")/7</f>
        <v>0</v>
      </c>
      <c r="H15" s="15"/>
      <c r="I15" s="15"/>
      <c r="J15" s="15"/>
      <c r="K15" s="15"/>
      <c r="L15" s="15"/>
      <c r="N15">
        <v>13</v>
      </c>
      <c r="O15" s="31">
        <f t="shared" si="0"/>
        <v>0</v>
      </c>
    </row>
    <row r="16" ht="68" spans="1:15">
      <c r="A16" s="35">
        <v>6</v>
      </c>
      <c r="B16" s="15" t="s">
        <v>60</v>
      </c>
      <c r="C16" s="15" t="s">
        <v>61</v>
      </c>
      <c r="D16" s="15" t="s">
        <v>62</v>
      </c>
      <c r="E16" s="15" t="s">
        <v>63</v>
      </c>
      <c r="F16" s="15" t="str">
        <f>IF(G16=1,"完成",IF(COUNTIF(每日计划!$L$38:$L$44,"进行中")&gt;0,"进行中","未开始"))</f>
        <v>未开始</v>
      </c>
      <c r="G16" s="33">
        <f>COUNTIF(每日计划!$L$38:$L$44,"完成")/7</f>
        <v>0</v>
      </c>
      <c r="H16" s="15"/>
      <c r="I16" s="15"/>
      <c r="J16" s="15"/>
      <c r="K16" s="15"/>
      <c r="L16" s="15"/>
      <c r="N16">
        <v>14</v>
      </c>
      <c r="O16" s="31">
        <f t="shared" si="0"/>
        <v>0</v>
      </c>
    </row>
    <row r="17" ht="34" spans="1:14">
      <c r="A17" s="35">
        <v>7</v>
      </c>
      <c r="B17" s="15" t="s">
        <v>64</v>
      </c>
      <c r="C17" s="15" t="s">
        <v>65</v>
      </c>
      <c r="D17" s="15" t="s">
        <v>66</v>
      </c>
      <c r="E17" s="15" t="s">
        <v>59</v>
      </c>
      <c r="F17" s="15" t="str">
        <f>IF(G17=1,"完成",IF(COUNTIF(每日计划!$L$45:$L$51,"进行中")&gt;0,"进行中","未开始"))</f>
        <v>未开始</v>
      </c>
      <c r="G17" s="33">
        <f>COUNTIF(每日计划!$L$45:$L$51,"完成")/7</f>
        <v>0</v>
      </c>
      <c r="H17" s="15"/>
      <c r="I17" s="15"/>
      <c r="J17" s="15"/>
      <c r="K17" s="15"/>
      <c r="L17" s="15"/>
    </row>
    <row r="18" ht="51" spans="1:14">
      <c r="A18" s="35">
        <v>8</v>
      </c>
      <c r="B18" s="15" t="s">
        <v>67</v>
      </c>
      <c r="C18" s="15" t="s">
        <v>68</v>
      </c>
      <c r="D18" s="15" t="s">
        <v>69</v>
      </c>
      <c r="E18" s="15" t="s">
        <v>70</v>
      </c>
      <c r="F18" s="15" t="str">
        <f>IF(G18=1,"完成",IF(COUNTIF(每日计划!$L$52:$L$58,"进行中")&gt;0,"进行中","未开始"))</f>
        <v>未开始</v>
      </c>
      <c r="G18" s="33">
        <f>COUNTIF(每日计划!$L$52:$L$58,"完成")/7</f>
        <v>0</v>
      </c>
      <c r="H18" s="15"/>
      <c r="I18" s="15"/>
      <c r="J18" s="15"/>
      <c r="K18" s="15"/>
      <c r="L18" s="15"/>
    </row>
    <row r="19" ht="51" spans="1:14">
      <c r="A19" s="35">
        <v>9</v>
      </c>
      <c r="B19" s="15" t="s">
        <v>71</v>
      </c>
      <c r="C19" s="15" t="s">
        <v>72</v>
      </c>
      <c r="D19" s="15" t="s">
        <v>73</v>
      </c>
      <c r="E19" s="15" t="s">
        <v>74</v>
      </c>
      <c r="F19" s="15" t="str">
        <f>IF(G19=1,"完成",IF(COUNTIF(每日计划!$L$59:$L$65,"进行中")&gt;0,"进行中","未开始"))</f>
        <v>未开始</v>
      </c>
      <c r="G19" s="33">
        <f>COUNTIF(每日计划!$L$59:$L$65,"完成")/7</f>
        <v>0</v>
      </c>
      <c r="H19" s="15"/>
      <c r="I19" s="15"/>
      <c r="J19" s="15"/>
      <c r="K19" s="15"/>
      <c r="L19" s="15"/>
    </row>
    <row r="20" ht="51" spans="1:14">
      <c r="A20" s="35">
        <v>10</v>
      </c>
      <c r="B20" s="15" t="s">
        <v>75</v>
      </c>
      <c r="C20" s="15" t="s">
        <v>76</v>
      </c>
      <c r="D20" s="15" t="s">
        <v>77</v>
      </c>
      <c r="E20" s="15" t="s">
        <v>78</v>
      </c>
      <c r="F20" s="15" t="str">
        <f>IF(G20=1,"完成",IF(COUNTIF(每日计划!$L$66:$L$72,"进行中")&gt;0,"进行中","未开始"))</f>
        <v>未开始</v>
      </c>
      <c r="G20" s="33">
        <f>COUNTIF(每日计划!$L$66:$L$72,"完成")/7</f>
        <v>0</v>
      </c>
      <c r="H20" s="15"/>
      <c r="I20" s="15"/>
      <c r="J20" s="15"/>
      <c r="K20" s="15"/>
      <c r="L20" s="15"/>
      <c r="N20" s="36" t="s">
        <v>79</v>
      </c>
    </row>
    <row r="21" ht="51" spans="1:14">
      <c r="A21" s="35">
        <v>11</v>
      </c>
      <c r="B21" s="15" t="s">
        <v>80</v>
      </c>
      <c r="C21" s="15" t="s">
        <v>81</v>
      </c>
      <c r="D21" s="15" t="s">
        <v>82</v>
      </c>
      <c r="E21" s="15" t="s">
        <v>83</v>
      </c>
      <c r="F21" s="15" t="str">
        <f>IF(G21=1,"完成",IF(COUNTIF(每日计划!$L$73:$L$79,"进行中")&gt;0,"进行中","未开始"))</f>
        <v>未开始</v>
      </c>
      <c r="G21" s="33">
        <f>COUNTIF(每日计划!$L$73:$L$79,"完成")/7</f>
        <v>0</v>
      </c>
      <c r="H21" s="15"/>
      <c r="I21" s="15"/>
      <c r="J21" s="15"/>
      <c r="K21" s="15"/>
      <c r="L21" s="15"/>
    </row>
    <row r="22" ht="51" spans="1:14">
      <c r="A22" s="35">
        <v>12</v>
      </c>
      <c r="B22" s="15" t="s">
        <v>84</v>
      </c>
      <c r="C22" s="15" t="s">
        <v>85</v>
      </c>
      <c r="D22" s="15" t="s">
        <v>86</v>
      </c>
      <c r="E22" s="15" t="s">
        <v>87</v>
      </c>
      <c r="F22" s="15" t="str">
        <f>IF(G22=1,"完成",IF(COUNTIF(每日计划!$L$80:$L$86,"进行中")&gt;0,"进行中","未开始"))</f>
        <v>未开始</v>
      </c>
      <c r="G22" s="33">
        <f>COUNTIF(每日计划!$L$80:$L$86,"完成")/7</f>
        <v>0</v>
      </c>
      <c r="H22" s="15"/>
      <c r="I22" s="15"/>
      <c r="J22" s="15"/>
      <c r="K22" s="15"/>
      <c r="L22" s="15"/>
    </row>
    <row r="23" ht="51" spans="1:14">
      <c r="A23" s="35">
        <v>13</v>
      </c>
      <c r="B23" s="15" t="s">
        <v>88</v>
      </c>
      <c r="C23" s="15" t="s">
        <v>89</v>
      </c>
      <c r="D23" s="15" t="s">
        <v>90</v>
      </c>
      <c r="E23" s="15" t="s">
        <v>91</v>
      </c>
      <c r="F23" s="15" t="str">
        <f>IF(G23=1,"完成",IF(COUNTIF(每日计划!$L$87:$L$93,"进行中")&gt;0,"进行中","未开始"))</f>
        <v>未开始</v>
      </c>
      <c r="G23" s="33">
        <f>COUNTIF(每日计划!$L$87:$L$93,"完成")/7</f>
        <v>0</v>
      </c>
      <c r="H23" s="15"/>
      <c r="I23" s="15"/>
      <c r="J23" s="15"/>
      <c r="K23" s="15"/>
      <c r="L23" s="15"/>
    </row>
    <row r="24" ht="34" spans="1:14">
      <c r="A24" s="35">
        <v>14</v>
      </c>
      <c r="B24" s="15" t="s">
        <v>92</v>
      </c>
      <c r="C24" s="15" t="s">
        <v>93</v>
      </c>
      <c r="D24" s="15" t="s">
        <v>94</v>
      </c>
      <c r="E24" s="15" t="s">
        <v>95</v>
      </c>
      <c r="F24" s="15" t="str">
        <f>IF(G24=1,"完成",IF(COUNTIF(每日计划!$L$94:$L$100,"进行中")&gt;0,"进行中","未开始"))</f>
        <v>未开始</v>
      </c>
      <c r="G24" s="33">
        <f>COUNTIF(每日计划!$L$94:$L$100,"完成")/7</f>
        <v>0</v>
      </c>
      <c r="H24" s="15"/>
      <c r="I24" s="15"/>
      <c r="J24" s="15"/>
      <c r="K24" s="15"/>
      <c r="L24" s="15"/>
    </row>
    <row r="25" spans="1:1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4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</sheetData>
  <mergeCells count="5">
    <mergeCell ref="A1:L1"/>
    <mergeCell ref="A2:L2"/>
    <mergeCell ref="A3:L3"/>
    <mergeCell ref="F4:I4"/>
    <mergeCell ref="N20:U2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"/>
  <sheetViews>
    <sheetView workbookViewId="0">
      <selection activeCell="A1" sqref="A1:Q1"/>
    </sheetView>
  </sheetViews>
  <sheetFormatPr defaultColWidth="9" defaultRowHeight="16.8"/>
  <cols>
    <col min="1" max="1" width="7" customWidth="1"/>
    <col min="2" max="2" width="13" customWidth="1"/>
    <col min="3" max="3" width="7" customWidth="1"/>
    <col min="4" max="4" width="8" customWidth="1"/>
    <col min="5" max="5" width="14" customWidth="1"/>
    <col min="6" max="6" width="30" customWidth="1"/>
    <col min="7" max="7" width="10" customWidth="1"/>
    <col min="8" max="8" width="40" customWidth="1"/>
    <col min="9" max="9" width="34" customWidth="1"/>
    <col min="10" max="10" width="16" customWidth="1"/>
    <col min="11" max="11" width="38" customWidth="1"/>
    <col min="12" max="13" width="10" customWidth="1"/>
    <col min="14" max="14" width="26" customWidth="1"/>
    <col min="17" max="17" width="30" customWidth="1"/>
    <col min="18" max="18" width="40" customWidth="1"/>
  </cols>
  <sheetData>
    <row r="1" ht="30" customHeight="1" spans="1:18">
      <c r="A1" s="6" t="s">
        <v>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23" t="s">
        <v>97</v>
      </c>
    </row>
    <row r="2" ht="34" spans="1:18">
      <c r="A2" s="24" t="s">
        <v>98</v>
      </c>
      <c r="B2" s="24" t="s">
        <v>99</v>
      </c>
      <c r="C2" s="24" t="s">
        <v>2</v>
      </c>
      <c r="D2" s="24" t="s">
        <v>100</v>
      </c>
      <c r="E2" s="24" t="s">
        <v>101</v>
      </c>
      <c r="F2" s="24" t="s">
        <v>102</v>
      </c>
      <c r="G2" s="24" t="s">
        <v>103</v>
      </c>
      <c r="H2" s="24" t="s">
        <v>104</v>
      </c>
      <c r="I2" s="24" t="s">
        <v>105</v>
      </c>
      <c r="J2" s="24" t="s">
        <v>106</v>
      </c>
      <c r="K2" s="24" t="s">
        <v>107</v>
      </c>
      <c r="L2" s="24" t="s">
        <v>39</v>
      </c>
      <c r="M2" s="24" t="s">
        <v>108</v>
      </c>
      <c r="N2" s="24" t="s">
        <v>109</v>
      </c>
      <c r="O2" s="8" t="s">
        <v>110</v>
      </c>
      <c r="P2" s="8" t="s">
        <v>111</v>
      </c>
      <c r="Q2" s="8" t="s">
        <v>112</v>
      </c>
      <c r="R2" s="23" t="s">
        <v>113</v>
      </c>
    </row>
    <row r="3" ht="51" spans="1:18">
      <c r="A3" s="10">
        <v>1</v>
      </c>
      <c r="B3" s="25">
        <v>46289</v>
      </c>
      <c r="C3" s="10">
        <v>1</v>
      </c>
      <c r="D3" s="10" t="s">
        <v>114</v>
      </c>
      <c r="E3" s="10" t="s">
        <v>115</v>
      </c>
      <c r="F3" s="10" t="s">
        <v>40</v>
      </c>
      <c r="G3" s="10" t="s">
        <v>116</v>
      </c>
      <c r="H3" s="10" t="s">
        <v>117</v>
      </c>
      <c r="I3" s="10" t="s">
        <v>118</v>
      </c>
      <c r="J3" s="10" t="s">
        <v>119</v>
      </c>
      <c r="K3" s="10" t="s">
        <v>120</v>
      </c>
      <c r="L3" s="10" t="s">
        <v>18</v>
      </c>
      <c r="M3" s="26">
        <v>8.5</v>
      </c>
      <c r="N3" s="10" t="s">
        <v>17</v>
      </c>
      <c r="O3" s="15" t="s">
        <v>121</v>
      </c>
      <c r="P3" s="15" t="s">
        <v>122</v>
      </c>
      <c r="Q3" s="27" t="s">
        <v>123</v>
      </c>
      <c r="R3" s="15" t="s">
        <v>17</v>
      </c>
    </row>
    <row r="4" ht="51" spans="1:18">
      <c r="A4" s="10">
        <v>2</v>
      </c>
      <c r="B4" s="25">
        <v>46290</v>
      </c>
      <c r="C4" s="10">
        <v>1</v>
      </c>
      <c r="D4" s="10" t="s">
        <v>124</v>
      </c>
      <c r="E4" s="10" t="s">
        <v>115</v>
      </c>
      <c r="F4" s="10" t="s">
        <v>40</v>
      </c>
      <c r="G4" s="10" t="s">
        <v>116</v>
      </c>
      <c r="H4" s="10" t="s">
        <v>125</v>
      </c>
      <c r="I4" s="10" t="s">
        <v>126</v>
      </c>
      <c r="J4" s="10" t="s">
        <v>127</v>
      </c>
      <c r="K4" s="10" t="s">
        <v>128</v>
      </c>
      <c r="L4" s="10" t="s">
        <v>18</v>
      </c>
      <c r="M4" s="26">
        <v>8.5</v>
      </c>
      <c r="N4" s="10" t="s">
        <v>17</v>
      </c>
      <c r="O4" s="15" t="s">
        <v>129</v>
      </c>
      <c r="P4" s="15" t="s">
        <v>130</v>
      </c>
      <c r="Q4" s="27" t="s">
        <v>131</v>
      </c>
      <c r="R4" s="15" t="s">
        <v>17</v>
      </c>
    </row>
    <row r="5" ht="51" spans="1:18">
      <c r="A5" s="10">
        <v>3</v>
      </c>
      <c r="B5" s="25">
        <v>46291</v>
      </c>
      <c r="C5" s="10">
        <v>1</v>
      </c>
      <c r="D5" s="10" t="s">
        <v>132</v>
      </c>
      <c r="E5" s="10" t="s">
        <v>115</v>
      </c>
      <c r="F5" s="10" t="s">
        <v>40</v>
      </c>
      <c r="G5" s="10" t="s">
        <v>116</v>
      </c>
      <c r="H5" s="10" t="s">
        <v>133</v>
      </c>
      <c r="I5" s="10" t="s">
        <v>134</v>
      </c>
      <c r="J5" s="10" t="s">
        <v>135</v>
      </c>
      <c r="K5" s="10" t="s">
        <v>136</v>
      </c>
      <c r="L5" s="10" t="s">
        <v>18</v>
      </c>
      <c r="M5" s="26">
        <v>8.5</v>
      </c>
      <c r="N5" s="10" t="s">
        <v>17</v>
      </c>
      <c r="O5" s="15" t="s">
        <v>137</v>
      </c>
      <c r="P5" s="15" t="s">
        <v>130</v>
      </c>
      <c r="Q5" s="27" t="s">
        <v>131</v>
      </c>
      <c r="R5" s="15" t="s">
        <v>17</v>
      </c>
    </row>
    <row r="6" ht="68" spans="1:18">
      <c r="A6" s="10">
        <v>4</v>
      </c>
      <c r="B6" s="25">
        <v>46292</v>
      </c>
      <c r="C6" s="10">
        <v>1</v>
      </c>
      <c r="D6" s="10" t="s">
        <v>138</v>
      </c>
      <c r="E6" s="10" t="s">
        <v>115</v>
      </c>
      <c r="F6" s="10" t="s">
        <v>40</v>
      </c>
      <c r="G6" s="10" t="s">
        <v>116</v>
      </c>
      <c r="H6" s="10" t="s">
        <v>139</v>
      </c>
      <c r="I6" s="10" t="s">
        <v>140</v>
      </c>
      <c r="J6" s="10" t="s">
        <v>141</v>
      </c>
      <c r="K6" s="10" t="s">
        <v>142</v>
      </c>
      <c r="L6" s="10" t="s">
        <v>18</v>
      </c>
      <c r="M6" s="26">
        <v>7</v>
      </c>
      <c r="N6" s="10" t="s">
        <v>17</v>
      </c>
      <c r="O6" s="15" t="s">
        <v>143</v>
      </c>
      <c r="P6" s="15" t="s">
        <v>144</v>
      </c>
      <c r="Q6" s="27" t="s">
        <v>145</v>
      </c>
      <c r="R6" s="15" t="s">
        <v>17</v>
      </c>
    </row>
    <row r="7" ht="51" spans="1:18">
      <c r="A7" s="10">
        <v>5</v>
      </c>
      <c r="B7" s="25">
        <v>46293</v>
      </c>
      <c r="C7" s="10">
        <v>1</v>
      </c>
      <c r="D7" s="10" t="s">
        <v>146</v>
      </c>
      <c r="E7" s="10" t="s">
        <v>115</v>
      </c>
      <c r="F7" s="10" t="s">
        <v>40</v>
      </c>
      <c r="G7" s="10" t="s">
        <v>116</v>
      </c>
      <c r="H7" s="10" t="s">
        <v>147</v>
      </c>
      <c r="I7" s="10" t="s">
        <v>148</v>
      </c>
      <c r="J7" s="10" t="s">
        <v>127</v>
      </c>
      <c r="K7" s="10" t="s">
        <v>149</v>
      </c>
      <c r="L7" s="10" t="s">
        <v>18</v>
      </c>
      <c r="M7" s="26">
        <v>8.5</v>
      </c>
      <c r="N7" s="10" t="s">
        <v>17</v>
      </c>
      <c r="O7" s="15" t="s">
        <v>129</v>
      </c>
      <c r="P7" s="15" t="s">
        <v>130</v>
      </c>
      <c r="Q7" s="27" t="s">
        <v>131</v>
      </c>
      <c r="R7" s="15" t="s">
        <v>17</v>
      </c>
    </row>
    <row r="8" ht="51" spans="1:18">
      <c r="A8" s="10">
        <v>6</v>
      </c>
      <c r="B8" s="25">
        <v>46294</v>
      </c>
      <c r="C8" s="10">
        <v>1</v>
      </c>
      <c r="D8" s="10" t="s">
        <v>150</v>
      </c>
      <c r="E8" s="10" t="s">
        <v>115</v>
      </c>
      <c r="F8" s="10" t="s">
        <v>40</v>
      </c>
      <c r="G8" s="10" t="s">
        <v>116</v>
      </c>
      <c r="H8" s="10" t="s">
        <v>151</v>
      </c>
      <c r="I8" s="10" t="s">
        <v>152</v>
      </c>
      <c r="J8" s="10" t="s">
        <v>153</v>
      </c>
      <c r="K8" s="10" t="s">
        <v>154</v>
      </c>
      <c r="L8" s="10" t="s">
        <v>18</v>
      </c>
      <c r="M8" s="26">
        <v>8.5</v>
      </c>
      <c r="N8" s="10" t="s">
        <v>17</v>
      </c>
      <c r="O8" s="15" t="s">
        <v>155</v>
      </c>
      <c r="P8" s="15" t="s">
        <v>156</v>
      </c>
      <c r="Q8" s="27" t="s">
        <v>157</v>
      </c>
      <c r="R8" s="15" t="s">
        <v>17</v>
      </c>
    </row>
    <row r="9" ht="84" spans="1:18">
      <c r="A9" s="10">
        <v>7</v>
      </c>
      <c r="B9" s="25">
        <v>46295</v>
      </c>
      <c r="C9" s="10">
        <v>1</v>
      </c>
      <c r="D9" s="10" t="s">
        <v>158</v>
      </c>
      <c r="E9" s="10" t="s">
        <v>115</v>
      </c>
      <c r="F9" s="10" t="s">
        <v>40</v>
      </c>
      <c r="G9" s="10" t="s">
        <v>116</v>
      </c>
      <c r="H9" s="10" t="s">
        <v>159</v>
      </c>
      <c r="I9" s="10" t="s">
        <v>160</v>
      </c>
      <c r="J9" s="10" t="s">
        <v>119</v>
      </c>
      <c r="K9" s="10" t="s">
        <v>161</v>
      </c>
      <c r="L9" s="10" t="s">
        <v>18</v>
      </c>
      <c r="M9" s="26">
        <v>8.5</v>
      </c>
      <c r="N9" s="10" t="s">
        <v>17</v>
      </c>
      <c r="O9" s="15" t="s">
        <v>162</v>
      </c>
      <c r="P9" s="15" t="s">
        <v>163</v>
      </c>
      <c r="Q9" s="27" t="s">
        <v>164</v>
      </c>
      <c r="R9" s="15" t="s">
        <v>17</v>
      </c>
    </row>
    <row r="10" ht="51" spans="1:18">
      <c r="A10" s="10">
        <v>8</v>
      </c>
      <c r="B10" s="25">
        <v>46296</v>
      </c>
      <c r="C10" s="10">
        <v>2</v>
      </c>
      <c r="D10" s="10" t="s">
        <v>114</v>
      </c>
      <c r="E10" s="10" t="s">
        <v>165</v>
      </c>
      <c r="F10" s="10" t="s">
        <v>44</v>
      </c>
      <c r="G10" s="10" t="s">
        <v>116</v>
      </c>
      <c r="H10" s="10" t="s">
        <v>166</v>
      </c>
      <c r="I10" s="10" t="s">
        <v>167</v>
      </c>
      <c r="J10" s="10" t="s">
        <v>141</v>
      </c>
      <c r="K10" s="10" t="s">
        <v>168</v>
      </c>
      <c r="L10" s="10" t="s">
        <v>18</v>
      </c>
      <c r="M10" s="26">
        <v>8.5</v>
      </c>
      <c r="N10" s="10" t="s">
        <v>17</v>
      </c>
      <c r="O10" s="15" t="s">
        <v>169</v>
      </c>
      <c r="P10" s="15" t="s">
        <v>170</v>
      </c>
      <c r="Q10" s="27" t="s">
        <v>171</v>
      </c>
      <c r="R10" s="15" t="s">
        <v>17</v>
      </c>
    </row>
    <row r="11" ht="51" spans="1:18">
      <c r="A11" s="10">
        <v>9</v>
      </c>
      <c r="B11" s="25">
        <v>46297</v>
      </c>
      <c r="C11" s="10">
        <v>2</v>
      </c>
      <c r="D11" s="10" t="s">
        <v>124</v>
      </c>
      <c r="E11" s="10" t="s">
        <v>165</v>
      </c>
      <c r="F11" s="10" t="s">
        <v>44</v>
      </c>
      <c r="G11" s="10" t="s">
        <v>116</v>
      </c>
      <c r="H11" s="10" t="s">
        <v>172</v>
      </c>
      <c r="I11" s="10" t="s">
        <v>173</v>
      </c>
      <c r="J11" s="10" t="s">
        <v>127</v>
      </c>
      <c r="K11" s="10" t="s">
        <v>174</v>
      </c>
      <c r="L11" s="10" t="s">
        <v>18</v>
      </c>
      <c r="M11" s="26">
        <v>8.5</v>
      </c>
      <c r="N11" s="10" t="s">
        <v>17</v>
      </c>
      <c r="O11" s="15" t="s">
        <v>175</v>
      </c>
      <c r="P11" s="15" t="s">
        <v>130</v>
      </c>
      <c r="Q11" s="27" t="s">
        <v>131</v>
      </c>
      <c r="R11" s="15" t="s">
        <v>17</v>
      </c>
    </row>
    <row r="12" ht="51" spans="1:18">
      <c r="A12" s="10">
        <v>10</v>
      </c>
      <c r="B12" s="25">
        <v>46298</v>
      </c>
      <c r="C12" s="10">
        <v>2</v>
      </c>
      <c r="D12" s="10" t="s">
        <v>132</v>
      </c>
      <c r="E12" s="10" t="s">
        <v>165</v>
      </c>
      <c r="F12" s="10" t="s">
        <v>44</v>
      </c>
      <c r="G12" s="10" t="s">
        <v>116</v>
      </c>
      <c r="H12" s="10" t="s">
        <v>176</v>
      </c>
      <c r="I12" s="10" t="s">
        <v>177</v>
      </c>
      <c r="J12" s="10" t="s">
        <v>141</v>
      </c>
      <c r="K12" s="10" t="s">
        <v>178</v>
      </c>
      <c r="L12" s="10" t="s">
        <v>18</v>
      </c>
      <c r="M12" s="26">
        <v>8.5</v>
      </c>
      <c r="N12" s="10" t="s">
        <v>17</v>
      </c>
      <c r="O12" s="15" t="s">
        <v>179</v>
      </c>
      <c r="P12" s="15" t="s">
        <v>180</v>
      </c>
      <c r="Q12" s="27" t="s">
        <v>181</v>
      </c>
      <c r="R12" s="15" t="s">
        <v>17</v>
      </c>
    </row>
    <row r="13" ht="51" spans="1:18">
      <c r="A13" s="10">
        <v>11</v>
      </c>
      <c r="B13" s="25">
        <v>46299</v>
      </c>
      <c r="C13" s="10">
        <v>2</v>
      </c>
      <c r="D13" s="10" t="s">
        <v>138</v>
      </c>
      <c r="E13" s="10" t="s">
        <v>165</v>
      </c>
      <c r="F13" s="10" t="s">
        <v>44</v>
      </c>
      <c r="G13" s="10" t="s">
        <v>116</v>
      </c>
      <c r="H13" s="10" t="s">
        <v>182</v>
      </c>
      <c r="I13" s="10" t="s">
        <v>183</v>
      </c>
      <c r="J13" s="10" t="s">
        <v>184</v>
      </c>
      <c r="K13" s="10" t="s">
        <v>185</v>
      </c>
      <c r="L13" s="10" t="s">
        <v>18</v>
      </c>
      <c r="M13" s="26">
        <v>7</v>
      </c>
      <c r="N13" s="10" t="s">
        <v>17</v>
      </c>
      <c r="O13" s="15" t="s">
        <v>169</v>
      </c>
      <c r="P13" s="15" t="s">
        <v>170</v>
      </c>
      <c r="Q13" s="27" t="s">
        <v>171</v>
      </c>
      <c r="R13" s="15" t="s">
        <v>17</v>
      </c>
    </row>
    <row r="14" ht="51" spans="1:18">
      <c r="A14" s="10">
        <v>12</v>
      </c>
      <c r="B14" s="25">
        <v>46300</v>
      </c>
      <c r="C14" s="10">
        <v>2</v>
      </c>
      <c r="D14" s="10" t="s">
        <v>146</v>
      </c>
      <c r="E14" s="10" t="s">
        <v>165</v>
      </c>
      <c r="F14" s="10" t="s">
        <v>44</v>
      </c>
      <c r="G14" s="10" t="s">
        <v>116</v>
      </c>
      <c r="H14" s="10" t="s">
        <v>186</v>
      </c>
      <c r="I14" s="10" t="s">
        <v>187</v>
      </c>
      <c r="J14" s="10" t="s">
        <v>188</v>
      </c>
      <c r="K14" s="10" t="s">
        <v>189</v>
      </c>
      <c r="L14" s="10" t="s">
        <v>18</v>
      </c>
      <c r="M14" s="26">
        <v>8.5</v>
      </c>
      <c r="N14" s="10" t="s">
        <v>17</v>
      </c>
      <c r="O14" s="15" t="s">
        <v>169</v>
      </c>
      <c r="P14" s="15" t="s">
        <v>170</v>
      </c>
      <c r="Q14" s="27" t="s">
        <v>171</v>
      </c>
      <c r="R14" s="15" t="s">
        <v>17</v>
      </c>
    </row>
    <row r="15" ht="51" spans="1:18">
      <c r="A15" s="10">
        <v>13</v>
      </c>
      <c r="B15" s="25">
        <v>46301</v>
      </c>
      <c r="C15" s="10">
        <v>2</v>
      </c>
      <c r="D15" s="10" t="s">
        <v>150</v>
      </c>
      <c r="E15" s="10" t="s">
        <v>165</v>
      </c>
      <c r="F15" s="10" t="s">
        <v>44</v>
      </c>
      <c r="G15" s="10" t="s">
        <v>116</v>
      </c>
      <c r="H15" s="10" t="s">
        <v>190</v>
      </c>
      <c r="I15" s="10" t="s">
        <v>191</v>
      </c>
      <c r="J15" s="10" t="s">
        <v>188</v>
      </c>
      <c r="K15" s="10" t="s">
        <v>192</v>
      </c>
      <c r="L15" s="10" t="s">
        <v>18</v>
      </c>
      <c r="M15" s="26">
        <v>8.5</v>
      </c>
      <c r="N15" s="10" t="s">
        <v>17</v>
      </c>
      <c r="O15" s="15" t="s">
        <v>193</v>
      </c>
      <c r="P15" s="15" t="s">
        <v>170</v>
      </c>
      <c r="Q15" s="27" t="s">
        <v>171</v>
      </c>
      <c r="R15" s="15" t="s">
        <v>17</v>
      </c>
    </row>
    <row r="16" ht="84" spans="1:18">
      <c r="A16" s="10">
        <v>14</v>
      </c>
      <c r="B16" s="25">
        <v>46302</v>
      </c>
      <c r="C16" s="10">
        <v>2</v>
      </c>
      <c r="D16" s="10" t="s">
        <v>158</v>
      </c>
      <c r="E16" s="10" t="s">
        <v>165</v>
      </c>
      <c r="F16" s="10" t="s">
        <v>44</v>
      </c>
      <c r="G16" s="10" t="s">
        <v>116</v>
      </c>
      <c r="H16" s="10" t="s">
        <v>194</v>
      </c>
      <c r="I16" s="10" t="s">
        <v>195</v>
      </c>
      <c r="J16" s="10" t="s">
        <v>141</v>
      </c>
      <c r="K16" s="10" t="s">
        <v>196</v>
      </c>
      <c r="L16" s="10" t="s">
        <v>18</v>
      </c>
      <c r="M16" s="26">
        <v>8.5</v>
      </c>
      <c r="N16" s="10" t="s">
        <v>17</v>
      </c>
      <c r="O16" s="15" t="s">
        <v>197</v>
      </c>
      <c r="P16" s="15" t="s">
        <v>163</v>
      </c>
      <c r="Q16" s="27" t="s">
        <v>164</v>
      </c>
      <c r="R16" s="15" t="s">
        <v>17</v>
      </c>
    </row>
    <row r="17" ht="68" spans="1:18">
      <c r="A17" s="10">
        <v>15</v>
      </c>
      <c r="B17" s="25">
        <v>46303</v>
      </c>
      <c r="C17" s="10">
        <v>3</v>
      </c>
      <c r="D17" s="10" t="s">
        <v>114</v>
      </c>
      <c r="E17" s="10" t="s">
        <v>198</v>
      </c>
      <c r="F17" s="10" t="s">
        <v>48</v>
      </c>
      <c r="G17" s="10" t="s">
        <v>116</v>
      </c>
      <c r="H17" s="10" t="s">
        <v>199</v>
      </c>
      <c r="I17" s="10" t="s">
        <v>200</v>
      </c>
      <c r="J17" s="10" t="s">
        <v>51</v>
      </c>
      <c r="K17" s="10" t="s">
        <v>201</v>
      </c>
      <c r="L17" s="10" t="s">
        <v>18</v>
      </c>
      <c r="M17" s="26">
        <v>8.5</v>
      </c>
      <c r="N17" s="10" t="s">
        <v>17</v>
      </c>
      <c r="O17" s="15" t="s">
        <v>202</v>
      </c>
      <c r="P17" s="15" t="s">
        <v>203</v>
      </c>
      <c r="Q17" s="27" t="s">
        <v>204</v>
      </c>
      <c r="R17" s="15" t="s">
        <v>205</v>
      </c>
    </row>
    <row r="18" ht="101" spans="1:18">
      <c r="A18" s="10">
        <v>16</v>
      </c>
      <c r="B18" s="25">
        <v>46304</v>
      </c>
      <c r="C18" s="10">
        <v>3</v>
      </c>
      <c r="D18" s="10" t="s">
        <v>124</v>
      </c>
      <c r="E18" s="10" t="s">
        <v>198</v>
      </c>
      <c r="F18" s="10" t="s">
        <v>48</v>
      </c>
      <c r="G18" s="10" t="s">
        <v>116</v>
      </c>
      <c r="H18" s="10" t="s">
        <v>206</v>
      </c>
      <c r="I18" s="10" t="s">
        <v>207</v>
      </c>
      <c r="J18" s="10" t="s">
        <v>208</v>
      </c>
      <c r="K18" s="10" t="s">
        <v>209</v>
      </c>
      <c r="L18" s="10" t="s">
        <v>18</v>
      </c>
      <c r="M18" s="26">
        <v>8.5</v>
      </c>
      <c r="N18" s="10" t="s">
        <v>17</v>
      </c>
      <c r="O18" s="15" t="s">
        <v>210</v>
      </c>
      <c r="P18" s="15" t="s">
        <v>211</v>
      </c>
      <c r="Q18" s="27" t="s">
        <v>212</v>
      </c>
      <c r="R18" s="15" t="s">
        <v>213</v>
      </c>
    </row>
    <row r="19" ht="68" spans="1:18">
      <c r="A19" s="10">
        <v>17</v>
      </c>
      <c r="B19" s="25">
        <v>46305</v>
      </c>
      <c r="C19" s="10">
        <v>3</v>
      </c>
      <c r="D19" s="10" t="s">
        <v>132</v>
      </c>
      <c r="E19" s="10" t="s">
        <v>198</v>
      </c>
      <c r="F19" s="10" t="s">
        <v>48</v>
      </c>
      <c r="G19" s="10" t="s">
        <v>116</v>
      </c>
      <c r="H19" s="10" t="s">
        <v>214</v>
      </c>
      <c r="I19" s="10" t="s">
        <v>215</v>
      </c>
      <c r="J19" s="10" t="s">
        <v>141</v>
      </c>
      <c r="K19" s="10" t="s">
        <v>216</v>
      </c>
      <c r="L19" s="10" t="s">
        <v>18</v>
      </c>
      <c r="M19" s="26">
        <v>8.5</v>
      </c>
      <c r="N19" s="10" t="s">
        <v>17</v>
      </c>
      <c r="O19" s="15" t="s">
        <v>217</v>
      </c>
      <c r="P19" s="15" t="s">
        <v>218</v>
      </c>
      <c r="Q19" s="27" t="s">
        <v>219</v>
      </c>
      <c r="R19" s="15" t="s">
        <v>220</v>
      </c>
    </row>
    <row r="20" ht="68" spans="1:18">
      <c r="A20" s="10">
        <v>18</v>
      </c>
      <c r="B20" s="25">
        <v>46306</v>
      </c>
      <c r="C20" s="10">
        <v>3</v>
      </c>
      <c r="D20" s="10" t="s">
        <v>138</v>
      </c>
      <c r="E20" s="10" t="s">
        <v>198</v>
      </c>
      <c r="F20" s="10" t="s">
        <v>48</v>
      </c>
      <c r="G20" s="10" t="s">
        <v>116</v>
      </c>
      <c r="H20" s="10" t="s">
        <v>221</v>
      </c>
      <c r="I20" s="10" t="s">
        <v>222</v>
      </c>
      <c r="J20" s="10" t="s">
        <v>223</v>
      </c>
      <c r="K20" s="10" t="s">
        <v>224</v>
      </c>
      <c r="L20" s="10" t="s">
        <v>18</v>
      </c>
      <c r="M20" s="26">
        <v>7</v>
      </c>
      <c r="N20" s="10" t="s">
        <v>17</v>
      </c>
      <c r="O20" s="15" t="s">
        <v>225</v>
      </c>
      <c r="P20" s="15" t="s">
        <v>218</v>
      </c>
      <c r="Q20" s="27" t="s">
        <v>219</v>
      </c>
      <c r="R20" s="15" t="s">
        <v>17</v>
      </c>
    </row>
    <row r="21" ht="68" spans="1:18">
      <c r="A21" s="10">
        <v>19</v>
      </c>
      <c r="B21" s="25">
        <v>46307</v>
      </c>
      <c r="C21" s="10">
        <v>3</v>
      </c>
      <c r="D21" s="10" t="s">
        <v>146</v>
      </c>
      <c r="E21" s="10" t="s">
        <v>198</v>
      </c>
      <c r="F21" s="10" t="s">
        <v>48</v>
      </c>
      <c r="G21" s="10" t="s">
        <v>116</v>
      </c>
      <c r="H21" s="10" t="s">
        <v>226</v>
      </c>
      <c r="I21" s="10" t="s">
        <v>227</v>
      </c>
      <c r="J21" s="10" t="s">
        <v>223</v>
      </c>
      <c r="K21" s="10" t="s">
        <v>228</v>
      </c>
      <c r="L21" s="10" t="s">
        <v>18</v>
      </c>
      <c r="M21" s="26">
        <v>8.5</v>
      </c>
      <c r="N21" s="10" t="s">
        <v>17</v>
      </c>
      <c r="O21" s="15" t="s">
        <v>229</v>
      </c>
      <c r="P21" s="15" t="s">
        <v>218</v>
      </c>
      <c r="Q21" s="27" t="s">
        <v>219</v>
      </c>
      <c r="R21" s="15" t="s">
        <v>17</v>
      </c>
    </row>
    <row r="22" ht="68" spans="1:18">
      <c r="A22" s="10">
        <v>20</v>
      </c>
      <c r="B22" s="25">
        <v>46308</v>
      </c>
      <c r="C22" s="10">
        <v>3</v>
      </c>
      <c r="D22" s="10" t="s">
        <v>150</v>
      </c>
      <c r="E22" s="10" t="s">
        <v>198</v>
      </c>
      <c r="F22" s="10" t="s">
        <v>48</v>
      </c>
      <c r="G22" s="10" t="s">
        <v>116</v>
      </c>
      <c r="H22" s="10" t="s">
        <v>230</v>
      </c>
      <c r="I22" s="10" t="s">
        <v>231</v>
      </c>
      <c r="J22" s="10" t="s">
        <v>232</v>
      </c>
      <c r="K22" s="10" t="s">
        <v>233</v>
      </c>
      <c r="L22" s="10" t="s">
        <v>18</v>
      </c>
      <c r="M22" s="26">
        <v>8.5</v>
      </c>
      <c r="N22" s="10" t="s">
        <v>17</v>
      </c>
      <c r="O22" s="15" t="s">
        <v>229</v>
      </c>
      <c r="P22" s="15" t="s">
        <v>218</v>
      </c>
      <c r="Q22" s="27" t="s">
        <v>219</v>
      </c>
      <c r="R22" s="15" t="s">
        <v>234</v>
      </c>
    </row>
    <row r="23" ht="84" spans="1:18">
      <c r="A23" s="10">
        <v>21</v>
      </c>
      <c r="B23" s="25">
        <v>46309</v>
      </c>
      <c r="C23" s="10">
        <v>3</v>
      </c>
      <c r="D23" s="10" t="s">
        <v>158</v>
      </c>
      <c r="E23" s="10" t="s">
        <v>198</v>
      </c>
      <c r="F23" s="10" t="s">
        <v>48</v>
      </c>
      <c r="G23" s="10" t="s">
        <v>116</v>
      </c>
      <c r="H23" s="10" t="s">
        <v>235</v>
      </c>
      <c r="I23" s="10" t="s">
        <v>236</v>
      </c>
      <c r="J23" s="10" t="s">
        <v>141</v>
      </c>
      <c r="K23" s="10" t="s">
        <v>237</v>
      </c>
      <c r="L23" s="10" t="s">
        <v>18</v>
      </c>
      <c r="M23" s="26">
        <v>8.5</v>
      </c>
      <c r="N23" s="10" t="s">
        <v>17</v>
      </c>
      <c r="O23" s="15" t="s">
        <v>238</v>
      </c>
      <c r="P23" s="15" t="s">
        <v>163</v>
      </c>
      <c r="Q23" s="27" t="s">
        <v>164</v>
      </c>
      <c r="R23" s="15" t="s">
        <v>17</v>
      </c>
    </row>
    <row r="24" ht="68" spans="1:18">
      <c r="A24" s="10">
        <v>22</v>
      </c>
      <c r="B24" s="25">
        <v>46310</v>
      </c>
      <c r="C24" s="10">
        <v>4</v>
      </c>
      <c r="D24" s="10" t="s">
        <v>114</v>
      </c>
      <c r="E24" s="10" t="s">
        <v>239</v>
      </c>
      <c r="F24" s="10" t="s">
        <v>52</v>
      </c>
      <c r="G24" s="10" t="s">
        <v>116</v>
      </c>
      <c r="H24" s="10" t="s">
        <v>240</v>
      </c>
      <c r="I24" s="10" t="s">
        <v>241</v>
      </c>
      <c r="J24" s="10" t="s">
        <v>208</v>
      </c>
      <c r="K24" s="10" t="s">
        <v>242</v>
      </c>
      <c r="L24" s="10" t="s">
        <v>18</v>
      </c>
      <c r="M24" s="26">
        <v>8.5</v>
      </c>
      <c r="N24" s="10" t="s">
        <v>17</v>
      </c>
      <c r="O24" s="15" t="s">
        <v>229</v>
      </c>
      <c r="P24" s="15" t="s">
        <v>218</v>
      </c>
      <c r="Q24" s="27" t="s">
        <v>219</v>
      </c>
      <c r="R24" s="15" t="s">
        <v>243</v>
      </c>
    </row>
    <row r="25" ht="34" spans="1:18">
      <c r="A25" s="10">
        <v>23</v>
      </c>
      <c r="B25" s="25">
        <v>46311</v>
      </c>
      <c r="C25" s="10">
        <v>4</v>
      </c>
      <c r="D25" s="10" t="s">
        <v>124</v>
      </c>
      <c r="E25" s="10" t="s">
        <v>239</v>
      </c>
      <c r="F25" s="10" t="s">
        <v>52</v>
      </c>
      <c r="G25" s="10" t="s">
        <v>116</v>
      </c>
      <c r="H25" s="10" t="s">
        <v>244</v>
      </c>
      <c r="I25" s="10" t="s">
        <v>245</v>
      </c>
      <c r="J25" s="10" t="s">
        <v>127</v>
      </c>
      <c r="K25" s="10" t="s">
        <v>246</v>
      </c>
      <c r="L25" s="10" t="s">
        <v>18</v>
      </c>
      <c r="M25" s="26">
        <v>8.5</v>
      </c>
      <c r="N25" s="10" t="s">
        <v>17</v>
      </c>
      <c r="O25" s="15" t="s">
        <v>247</v>
      </c>
      <c r="P25" s="15" t="s">
        <v>248</v>
      </c>
      <c r="Q25" s="27" t="s">
        <v>249</v>
      </c>
      <c r="R25" s="15" t="s">
        <v>17</v>
      </c>
    </row>
    <row r="26" ht="68" spans="1:18">
      <c r="A26" s="10">
        <v>24</v>
      </c>
      <c r="B26" s="25">
        <v>46312</v>
      </c>
      <c r="C26" s="10">
        <v>4</v>
      </c>
      <c r="D26" s="10" t="s">
        <v>132</v>
      </c>
      <c r="E26" s="10" t="s">
        <v>239</v>
      </c>
      <c r="F26" s="10" t="s">
        <v>52</v>
      </c>
      <c r="G26" s="10" t="s">
        <v>116</v>
      </c>
      <c r="H26" s="10" t="s">
        <v>250</v>
      </c>
      <c r="I26" s="10" t="s">
        <v>251</v>
      </c>
      <c r="J26" s="10" t="s">
        <v>252</v>
      </c>
      <c r="K26" s="10" t="s">
        <v>253</v>
      </c>
      <c r="L26" s="10" t="s">
        <v>18</v>
      </c>
      <c r="M26" s="26">
        <v>8.5</v>
      </c>
      <c r="N26" s="10" t="s">
        <v>17</v>
      </c>
      <c r="O26" s="15" t="s">
        <v>254</v>
      </c>
      <c r="P26" s="15" t="s">
        <v>255</v>
      </c>
      <c r="Q26" s="27" t="s">
        <v>256</v>
      </c>
      <c r="R26" s="15" t="s">
        <v>17</v>
      </c>
    </row>
    <row r="27" ht="34" spans="1:18">
      <c r="A27" s="10">
        <v>25</v>
      </c>
      <c r="B27" s="25">
        <v>46313</v>
      </c>
      <c r="C27" s="10">
        <v>4</v>
      </c>
      <c r="D27" s="10" t="s">
        <v>138</v>
      </c>
      <c r="E27" s="10" t="s">
        <v>239</v>
      </c>
      <c r="F27" s="10" t="s">
        <v>52</v>
      </c>
      <c r="G27" s="10" t="s">
        <v>116</v>
      </c>
      <c r="H27" s="10" t="s">
        <v>257</v>
      </c>
      <c r="I27" s="10" t="s">
        <v>258</v>
      </c>
      <c r="J27" s="10" t="s">
        <v>252</v>
      </c>
      <c r="K27" s="10" t="s">
        <v>259</v>
      </c>
      <c r="L27" s="10" t="s">
        <v>18</v>
      </c>
      <c r="M27" s="26">
        <v>7</v>
      </c>
      <c r="N27" s="10" t="s">
        <v>17</v>
      </c>
      <c r="O27" s="15" t="s">
        <v>260</v>
      </c>
      <c r="P27" s="15" t="s">
        <v>248</v>
      </c>
      <c r="Q27" s="27" t="s">
        <v>249</v>
      </c>
      <c r="R27" s="15" t="s">
        <v>17</v>
      </c>
    </row>
    <row r="28" ht="51" spans="1:18">
      <c r="A28" s="10">
        <v>26</v>
      </c>
      <c r="B28" s="25">
        <v>46314</v>
      </c>
      <c r="C28" s="10">
        <v>4</v>
      </c>
      <c r="D28" s="10" t="s">
        <v>146</v>
      </c>
      <c r="E28" s="10" t="s">
        <v>239</v>
      </c>
      <c r="F28" s="10" t="s">
        <v>52</v>
      </c>
      <c r="G28" s="10" t="s">
        <v>116</v>
      </c>
      <c r="H28" s="10" t="s">
        <v>261</v>
      </c>
      <c r="I28" s="10" t="s">
        <v>262</v>
      </c>
      <c r="J28" s="10" t="s">
        <v>232</v>
      </c>
      <c r="K28" s="10" t="s">
        <v>263</v>
      </c>
      <c r="L28" s="10" t="s">
        <v>18</v>
      </c>
      <c r="M28" s="26">
        <v>8.5</v>
      </c>
      <c r="N28" s="10" t="s">
        <v>17</v>
      </c>
      <c r="O28" s="15" t="s">
        <v>264</v>
      </c>
      <c r="P28" s="15" t="s">
        <v>265</v>
      </c>
      <c r="Q28" s="27" t="s">
        <v>266</v>
      </c>
      <c r="R28" s="15" t="s">
        <v>267</v>
      </c>
    </row>
    <row r="29" ht="68" spans="1:18">
      <c r="A29" s="10">
        <v>27</v>
      </c>
      <c r="B29" s="25">
        <v>46315</v>
      </c>
      <c r="C29" s="10">
        <v>4</v>
      </c>
      <c r="D29" s="10" t="s">
        <v>150</v>
      </c>
      <c r="E29" s="10" t="s">
        <v>239</v>
      </c>
      <c r="F29" s="10" t="s">
        <v>52</v>
      </c>
      <c r="G29" s="10" t="s">
        <v>116</v>
      </c>
      <c r="H29" s="10" t="s">
        <v>268</v>
      </c>
      <c r="I29" s="10" t="s">
        <v>269</v>
      </c>
      <c r="J29" s="10" t="s">
        <v>188</v>
      </c>
      <c r="K29" s="10" t="s">
        <v>270</v>
      </c>
      <c r="L29" s="10" t="s">
        <v>18</v>
      </c>
      <c r="M29" s="26">
        <v>8.5</v>
      </c>
      <c r="N29" s="10" t="s">
        <v>17</v>
      </c>
      <c r="O29" s="15" t="s">
        <v>271</v>
      </c>
      <c r="P29" s="15" t="s">
        <v>218</v>
      </c>
      <c r="Q29" s="27" t="s">
        <v>219</v>
      </c>
      <c r="R29" s="15" t="s">
        <v>17</v>
      </c>
    </row>
    <row r="30" ht="84" spans="1:18">
      <c r="A30" s="10">
        <v>28</v>
      </c>
      <c r="B30" s="25">
        <v>46316</v>
      </c>
      <c r="C30" s="10">
        <v>4</v>
      </c>
      <c r="D30" s="10" t="s">
        <v>158</v>
      </c>
      <c r="E30" s="10" t="s">
        <v>239</v>
      </c>
      <c r="F30" s="10" t="s">
        <v>52</v>
      </c>
      <c r="G30" s="10" t="s">
        <v>116</v>
      </c>
      <c r="H30" s="10" t="s">
        <v>272</v>
      </c>
      <c r="I30" s="10" t="s">
        <v>273</v>
      </c>
      <c r="J30" s="10" t="s">
        <v>274</v>
      </c>
      <c r="K30" s="10" t="s">
        <v>275</v>
      </c>
      <c r="L30" s="10" t="s">
        <v>18</v>
      </c>
      <c r="M30" s="26">
        <v>8.5</v>
      </c>
      <c r="N30" s="10" t="s">
        <v>17</v>
      </c>
      <c r="O30" s="15" t="s">
        <v>238</v>
      </c>
      <c r="P30" s="15" t="s">
        <v>163</v>
      </c>
      <c r="Q30" s="27" t="s">
        <v>164</v>
      </c>
      <c r="R30" s="15" t="s">
        <v>17</v>
      </c>
    </row>
    <row r="31" ht="68" spans="1:18">
      <c r="A31" s="10">
        <v>29</v>
      </c>
      <c r="B31" s="25">
        <v>46317</v>
      </c>
      <c r="C31" s="10">
        <v>5</v>
      </c>
      <c r="D31" s="10" t="s">
        <v>114</v>
      </c>
      <c r="E31" s="10" t="s">
        <v>276</v>
      </c>
      <c r="F31" s="10" t="s">
        <v>56</v>
      </c>
      <c r="G31" s="10" t="s">
        <v>116</v>
      </c>
      <c r="H31" s="10" t="s">
        <v>277</v>
      </c>
      <c r="I31" s="10" t="s">
        <v>278</v>
      </c>
      <c r="J31" s="10" t="s">
        <v>188</v>
      </c>
      <c r="K31" s="10" t="s">
        <v>279</v>
      </c>
      <c r="L31" s="10" t="s">
        <v>18</v>
      </c>
      <c r="M31" s="26">
        <v>8.5</v>
      </c>
      <c r="N31" s="10" t="s">
        <v>17</v>
      </c>
      <c r="O31" s="15" t="s">
        <v>280</v>
      </c>
      <c r="P31" s="15" t="s">
        <v>203</v>
      </c>
      <c r="Q31" s="27" t="s">
        <v>204</v>
      </c>
      <c r="R31" s="15" t="s">
        <v>281</v>
      </c>
    </row>
    <row r="32" ht="68" spans="1:18">
      <c r="A32" s="10">
        <v>30</v>
      </c>
      <c r="B32" s="25">
        <v>46318</v>
      </c>
      <c r="C32" s="10">
        <v>5</v>
      </c>
      <c r="D32" s="10" t="s">
        <v>124</v>
      </c>
      <c r="E32" s="10" t="s">
        <v>276</v>
      </c>
      <c r="F32" s="10" t="s">
        <v>56</v>
      </c>
      <c r="G32" s="10" t="s">
        <v>116</v>
      </c>
      <c r="H32" s="10" t="s">
        <v>282</v>
      </c>
      <c r="I32" s="10" t="s">
        <v>283</v>
      </c>
      <c r="J32" s="10" t="s">
        <v>141</v>
      </c>
      <c r="K32" s="10" t="s">
        <v>284</v>
      </c>
      <c r="L32" s="10" t="s">
        <v>18</v>
      </c>
      <c r="M32" s="26">
        <v>8.5</v>
      </c>
      <c r="N32" s="10" t="s">
        <v>17</v>
      </c>
      <c r="O32" s="15" t="s">
        <v>229</v>
      </c>
      <c r="P32" s="15" t="s">
        <v>218</v>
      </c>
      <c r="Q32" s="27" t="s">
        <v>219</v>
      </c>
      <c r="R32" s="15" t="s">
        <v>17</v>
      </c>
    </row>
    <row r="33" ht="101" spans="1:18">
      <c r="A33" s="10">
        <v>31</v>
      </c>
      <c r="B33" s="25">
        <v>46319</v>
      </c>
      <c r="C33" s="10">
        <v>5</v>
      </c>
      <c r="D33" s="10" t="s">
        <v>132</v>
      </c>
      <c r="E33" s="10" t="s">
        <v>276</v>
      </c>
      <c r="F33" s="10" t="s">
        <v>56</v>
      </c>
      <c r="G33" s="10" t="s">
        <v>116</v>
      </c>
      <c r="H33" s="10" t="s">
        <v>285</v>
      </c>
      <c r="I33" s="10" t="s">
        <v>286</v>
      </c>
      <c r="J33" s="10" t="s">
        <v>252</v>
      </c>
      <c r="K33" s="10" t="s">
        <v>287</v>
      </c>
      <c r="L33" s="10" t="s">
        <v>18</v>
      </c>
      <c r="M33" s="26">
        <v>8.5</v>
      </c>
      <c r="N33" s="10" t="s">
        <v>17</v>
      </c>
      <c r="O33" s="15" t="s">
        <v>288</v>
      </c>
      <c r="P33" s="15" t="s">
        <v>289</v>
      </c>
      <c r="Q33" s="27" t="s">
        <v>290</v>
      </c>
      <c r="R33" s="15" t="s">
        <v>17</v>
      </c>
    </row>
    <row r="34" ht="68" spans="1:18">
      <c r="A34" s="10">
        <v>32</v>
      </c>
      <c r="B34" s="25">
        <v>46320</v>
      </c>
      <c r="C34" s="10">
        <v>5</v>
      </c>
      <c r="D34" s="10" t="s">
        <v>138</v>
      </c>
      <c r="E34" s="10" t="s">
        <v>276</v>
      </c>
      <c r="F34" s="10" t="s">
        <v>56</v>
      </c>
      <c r="G34" s="10" t="s">
        <v>116</v>
      </c>
      <c r="H34" s="10" t="s">
        <v>291</v>
      </c>
      <c r="I34" s="10" t="s">
        <v>292</v>
      </c>
      <c r="J34" s="10" t="s">
        <v>232</v>
      </c>
      <c r="K34" s="10" t="s">
        <v>293</v>
      </c>
      <c r="L34" s="10" t="s">
        <v>18</v>
      </c>
      <c r="M34" s="26">
        <v>7</v>
      </c>
      <c r="N34" s="10" t="s">
        <v>17</v>
      </c>
      <c r="O34" s="15" t="s">
        <v>229</v>
      </c>
      <c r="P34" s="15" t="s">
        <v>218</v>
      </c>
      <c r="Q34" s="27" t="s">
        <v>219</v>
      </c>
      <c r="R34" s="15" t="s">
        <v>17</v>
      </c>
    </row>
    <row r="35" ht="68" spans="1:18">
      <c r="A35" s="10">
        <v>33</v>
      </c>
      <c r="B35" s="25">
        <v>46321</v>
      </c>
      <c r="C35" s="10">
        <v>5</v>
      </c>
      <c r="D35" s="10" t="s">
        <v>146</v>
      </c>
      <c r="E35" s="10" t="s">
        <v>276</v>
      </c>
      <c r="F35" s="10" t="s">
        <v>56</v>
      </c>
      <c r="G35" s="10" t="s">
        <v>116</v>
      </c>
      <c r="H35" s="10" t="s">
        <v>294</v>
      </c>
      <c r="I35" s="10" t="s">
        <v>295</v>
      </c>
      <c r="J35" s="10" t="s">
        <v>252</v>
      </c>
      <c r="K35" s="10" t="s">
        <v>296</v>
      </c>
      <c r="L35" s="10" t="s">
        <v>18</v>
      </c>
      <c r="M35" s="26">
        <v>8.5</v>
      </c>
      <c r="N35" s="10" t="s">
        <v>17</v>
      </c>
      <c r="O35" s="15" t="s">
        <v>229</v>
      </c>
      <c r="P35" s="15" t="s">
        <v>218</v>
      </c>
      <c r="Q35" s="27" t="s">
        <v>219</v>
      </c>
      <c r="R35" s="15" t="s">
        <v>17</v>
      </c>
    </row>
    <row r="36" ht="34" spans="1:18">
      <c r="A36" s="10">
        <v>34</v>
      </c>
      <c r="B36" s="25">
        <v>46322</v>
      </c>
      <c r="C36" s="10">
        <v>5</v>
      </c>
      <c r="D36" s="10" t="s">
        <v>150</v>
      </c>
      <c r="E36" s="10" t="s">
        <v>276</v>
      </c>
      <c r="F36" s="10" t="s">
        <v>56</v>
      </c>
      <c r="G36" s="10" t="s">
        <v>116</v>
      </c>
      <c r="H36" s="10" t="s">
        <v>297</v>
      </c>
      <c r="I36" s="10" t="s">
        <v>298</v>
      </c>
      <c r="J36" s="10" t="s">
        <v>232</v>
      </c>
      <c r="K36" s="10" t="s">
        <v>299</v>
      </c>
      <c r="L36" s="10" t="s">
        <v>18</v>
      </c>
      <c r="M36" s="26">
        <v>8.5</v>
      </c>
      <c r="N36" s="10" t="s">
        <v>17</v>
      </c>
      <c r="O36" s="15" t="s">
        <v>300</v>
      </c>
      <c r="P36" s="15" t="s">
        <v>301</v>
      </c>
      <c r="Q36" s="27" t="s">
        <v>302</v>
      </c>
      <c r="R36" s="15" t="s">
        <v>17</v>
      </c>
    </row>
    <row r="37" ht="84" spans="1:18">
      <c r="A37" s="10">
        <v>35</v>
      </c>
      <c r="B37" s="25">
        <v>46323</v>
      </c>
      <c r="C37" s="10">
        <v>5</v>
      </c>
      <c r="D37" s="10" t="s">
        <v>158</v>
      </c>
      <c r="E37" s="10" t="s">
        <v>276</v>
      </c>
      <c r="F37" s="10" t="s">
        <v>56</v>
      </c>
      <c r="G37" s="10" t="s">
        <v>116</v>
      </c>
      <c r="H37" s="10" t="s">
        <v>303</v>
      </c>
      <c r="I37" s="10" t="s">
        <v>304</v>
      </c>
      <c r="J37" s="10" t="s">
        <v>188</v>
      </c>
      <c r="K37" s="10" t="s">
        <v>305</v>
      </c>
      <c r="L37" s="10" t="s">
        <v>18</v>
      </c>
      <c r="M37" s="26">
        <v>8.5</v>
      </c>
      <c r="N37" s="10" t="s">
        <v>17</v>
      </c>
      <c r="O37" s="15" t="s">
        <v>306</v>
      </c>
      <c r="P37" s="15" t="s">
        <v>307</v>
      </c>
      <c r="Q37" s="27" t="s">
        <v>308</v>
      </c>
      <c r="R37" s="15" t="s">
        <v>309</v>
      </c>
    </row>
    <row r="38" ht="51" spans="1:18">
      <c r="A38" s="10">
        <v>36</v>
      </c>
      <c r="B38" s="25">
        <v>46324</v>
      </c>
      <c r="C38" s="10">
        <v>6</v>
      </c>
      <c r="D38" s="10" t="s">
        <v>114</v>
      </c>
      <c r="E38" s="10" t="s">
        <v>310</v>
      </c>
      <c r="F38" s="10" t="s">
        <v>60</v>
      </c>
      <c r="G38" s="10" t="s">
        <v>116</v>
      </c>
      <c r="H38" s="10" t="s">
        <v>311</v>
      </c>
      <c r="I38" s="10" t="s">
        <v>312</v>
      </c>
      <c r="J38" s="10" t="s">
        <v>127</v>
      </c>
      <c r="K38" s="10" t="s">
        <v>313</v>
      </c>
      <c r="L38" s="10" t="s">
        <v>18</v>
      </c>
      <c r="M38" s="26">
        <v>8.5</v>
      </c>
      <c r="N38" s="10" t="s">
        <v>17</v>
      </c>
      <c r="O38" s="15" t="s">
        <v>314</v>
      </c>
      <c r="P38" s="15" t="s">
        <v>315</v>
      </c>
      <c r="Q38" s="27" t="s">
        <v>316</v>
      </c>
      <c r="R38" s="15" t="s">
        <v>17</v>
      </c>
    </row>
    <row r="39" ht="51" spans="1:18">
      <c r="A39" s="10">
        <v>37</v>
      </c>
      <c r="B39" s="25">
        <v>46325</v>
      </c>
      <c r="C39" s="10">
        <v>6</v>
      </c>
      <c r="D39" s="10" t="s">
        <v>124</v>
      </c>
      <c r="E39" s="10" t="s">
        <v>310</v>
      </c>
      <c r="F39" s="10" t="s">
        <v>60</v>
      </c>
      <c r="G39" s="10" t="s">
        <v>116</v>
      </c>
      <c r="H39" s="10" t="s">
        <v>317</v>
      </c>
      <c r="I39" s="10" t="s">
        <v>318</v>
      </c>
      <c r="J39" s="10" t="s">
        <v>252</v>
      </c>
      <c r="K39" s="10" t="s">
        <v>319</v>
      </c>
      <c r="L39" s="10" t="s">
        <v>18</v>
      </c>
      <c r="M39" s="26">
        <v>8.5</v>
      </c>
      <c r="N39" s="10" t="s">
        <v>17</v>
      </c>
      <c r="O39" s="15" t="s">
        <v>320</v>
      </c>
      <c r="P39" s="15" t="s">
        <v>130</v>
      </c>
      <c r="Q39" s="27" t="s">
        <v>131</v>
      </c>
      <c r="R39" s="15" t="s">
        <v>17</v>
      </c>
    </row>
    <row r="40" ht="68" spans="1:18">
      <c r="A40" s="10">
        <v>38</v>
      </c>
      <c r="B40" s="25">
        <v>46326</v>
      </c>
      <c r="C40" s="10">
        <v>6</v>
      </c>
      <c r="D40" s="10" t="s">
        <v>132</v>
      </c>
      <c r="E40" s="10" t="s">
        <v>310</v>
      </c>
      <c r="F40" s="10" t="s">
        <v>60</v>
      </c>
      <c r="G40" s="10" t="s">
        <v>116</v>
      </c>
      <c r="H40" s="10" t="s">
        <v>321</v>
      </c>
      <c r="I40" s="10" t="s">
        <v>322</v>
      </c>
      <c r="J40" s="10" t="s">
        <v>252</v>
      </c>
      <c r="K40" s="10" t="s">
        <v>323</v>
      </c>
      <c r="L40" s="10" t="s">
        <v>18</v>
      </c>
      <c r="M40" s="26">
        <v>8.5</v>
      </c>
      <c r="N40" s="10" t="s">
        <v>17</v>
      </c>
      <c r="O40" s="15" t="s">
        <v>324</v>
      </c>
      <c r="P40" s="15" t="s">
        <v>255</v>
      </c>
      <c r="Q40" s="27" t="s">
        <v>256</v>
      </c>
      <c r="R40" s="15" t="s">
        <v>17</v>
      </c>
    </row>
    <row r="41" ht="34" spans="1:18">
      <c r="A41" s="10">
        <v>39</v>
      </c>
      <c r="B41" s="25">
        <v>46327</v>
      </c>
      <c r="C41" s="10">
        <v>6</v>
      </c>
      <c r="D41" s="10" t="s">
        <v>138</v>
      </c>
      <c r="E41" s="10" t="s">
        <v>310</v>
      </c>
      <c r="F41" s="10" t="s">
        <v>60</v>
      </c>
      <c r="G41" s="10" t="s">
        <v>116</v>
      </c>
      <c r="H41" s="10" t="s">
        <v>325</v>
      </c>
      <c r="I41" s="10" t="s">
        <v>326</v>
      </c>
      <c r="J41" s="10" t="s">
        <v>232</v>
      </c>
      <c r="K41" s="10" t="s">
        <v>327</v>
      </c>
      <c r="L41" s="10" t="s">
        <v>18</v>
      </c>
      <c r="M41" s="26">
        <v>7</v>
      </c>
      <c r="N41" s="10" t="s">
        <v>17</v>
      </c>
      <c r="O41" s="15" t="s">
        <v>328</v>
      </c>
      <c r="P41" s="15" t="s">
        <v>248</v>
      </c>
      <c r="Q41" s="27" t="s">
        <v>249</v>
      </c>
      <c r="R41" s="15" t="s">
        <v>17</v>
      </c>
    </row>
    <row r="42" ht="51" spans="1:18">
      <c r="A42" s="10">
        <v>40</v>
      </c>
      <c r="B42" s="25">
        <v>46328</v>
      </c>
      <c r="C42" s="10">
        <v>6</v>
      </c>
      <c r="D42" s="10" t="s">
        <v>146</v>
      </c>
      <c r="E42" s="10" t="s">
        <v>310</v>
      </c>
      <c r="F42" s="10" t="s">
        <v>60</v>
      </c>
      <c r="G42" s="10" t="s">
        <v>116</v>
      </c>
      <c r="H42" s="10" t="s">
        <v>329</v>
      </c>
      <c r="I42" s="10" t="s">
        <v>330</v>
      </c>
      <c r="J42" s="10" t="s">
        <v>223</v>
      </c>
      <c r="K42" s="10" t="s">
        <v>331</v>
      </c>
      <c r="L42" s="10" t="s">
        <v>18</v>
      </c>
      <c r="M42" s="26">
        <v>8.5</v>
      </c>
      <c r="N42" s="10" t="s">
        <v>17</v>
      </c>
      <c r="O42" s="15" t="s">
        <v>332</v>
      </c>
      <c r="P42" s="15" t="s">
        <v>130</v>
      </c>
      <c r="Q42" s="27" t="s">
        <v>131</v>
      </c>
      <c r="R42" s="15" t="s">
        <v>17</v>
      </c>
    </row>
    <row r="43" ht="51" spans="1:18">
      <c r="A43" s="10">
        <v>41</v>
      </c>
      <c r="B43" s="25">
        <v>46329</v>
      </c>
      <c r="C43" s="10">
        <v>6</v>
      </c>
      <c r="D43" s="10" t="s">
        <v>150</v>
      </c>
      <c r="E43" s="10" t="s">
        <v>310</v>
      </c>
      <c r="F43" s="10" t="s">
        <v>60</v>
      </c>
      <c r="G43" s="10" t="s">
        <v>116</v>
      </c>
      <c r="H43" s="10" t="s">
        <v>333</v>
      </c>
      <c r="I43" s="10" t="s">
        <v>334</v>
      </c>
      <c r="J43" s="10" t="s">
        <v>127</v>
      </c>
      <c r="K43" s="10" t="s">
        <v>335</v>
      </c>
      <c r="L43" s="10" t="s">
        <v>18</v>
      </c>
      <c r="M43" s="26">
        <v>8.5</v>
      </c>
      <c r="N43" s="10" t="s">
        <v>17</v>
      </c>
      <c r="O43" s="15" t="s">
        <v>336</v>
      </c>
      <c r="P43" s="15" t="s">
        <v>337</v>
      </c>
      <c r="Q43" s="27" t="s">
        <v>338</v>
      </c>
      <c r="R43" s="15" t="s">
        <v>17</v>
      </c>
    </row>
    <row r="44" ht="68" spans="1:18">
      <c r="A44" s="10">
        <v>42</v>
      </c>
      <c r="B44" s="25">
        <v>46330</v>
      </c>
      <c r="C44" s="10">
        <v>6</v>
      </c>
      <c r="D44" s="10" t="s">
        <v>158</v>
      </c>
      <c r="E44" s="10" t="s">
        <v>310</v>
      </c>
      <c r="F44" s="10" t="s">
        <v>60</v>
      </c>
      <c r="G44" s="10" t="s">
        <v>116</v>
      </c>
      <c r="H44" s="10" t="s">
        <v>339</v>
      </c>
      <c r="I44" s="10" t="s">
        <v>340</v>
      </c>
      <c r="J44" s="10" t="s">
        <v>153</v>
      </c>
      <c r="K44" s="10" t="s">
        <v>341</v>
      </c>
      <c r="L44" s="10" t="s">
        <v>18</v>
      </c>
      <c r="M44" s="26">
        <v>8.5</v>
      </c>
      <c r="N44" s="10" t="s">
        <v>17</v>
      </c>
      <c r="O44" s="15" t="s">
        <v>342</v>
      </c>
      <c r="P44" s="15" t="s">
        <v>343</v>
      </c>
      <c r="Q44" s="27" t="s">
        <v>344</v>
      </c>
      <c r="R44" s="15" t="s">
        <v>17</v>
      </c>
    </row>
    <row r="45" ht="51" spans="1:18">
      <c r="A45" s="10">
        <v>43</v>
      </c>
      <c r="B45" s="25">
        <v>46331</v>
      </c>
      <c r="C45" s="10">
        <v>7</v>
      </c>
      <c r="D45" s="10" t="s">
        <v>114</v>
      </c>
      <c r="E45" s="10" t="s">
        <v>345</v>
      </c>
      <c r="F45" s="10" t="s">
        <v>64</v>
      </c>
      <c r="G45" s="10" t="s">
        <v>116</v>
      </c>
      <c r="H45" s="10" t="s">
        <v>346</v>
      </c>
      <c r="I45" s="10" t="s">
        <v>347</v>
      </c>
      <c r="J45" s="10" t="s">
        <v>188</v>
      </c>
      <c r="K45" s="10" t="s">
        <v>348</v>
      </c>
      <c r="L45" s="10" t="s">
        <v>18</v>
      </c>
      <c r="M45" s="26">
        <v>8.5</v>
      </c>
      <c r="N45" s="10" t="s">
        <v>17</v>
      </c>
      <c r="O45" s="15" t="s">
        <v>169</v>
      </c>
      <c r="P45" s="15" t="s">
        <v>170</v>
      </c>
      <c r="Q45" s="27" t="s">
        <v>171</v>
      </c>
      <c r="R45" s="15" t="s">
        <v>349</v>
      </c>
    </row>
    <row r="46" ht="51" spans="1:18">
      <c r="A46" s="10">
        <v>44</v>
      </c>
      <c r="B46" s="25">
        <v>46332</v>
      </c>
      <c r="C46" s="10">
        <v>7</v>
      </c>
      <c r="D46" s="10" t="s">
        <v>124</v>
      </c>
      <c r="E46" s="10" t="s">
        <v>345</v>
      </c>
      <c r="F46" s="10" t="s">
        <v>64</v>
      </c>
      <c r="G46" s="10" t="s">
        <v>116</v>
      </c>
      <c r="H46" s="10" t="s">
        <v>350</v>
      </c>
      <c r="I46" s="10" t="s">
        <v>351</v>
      </c>
      <c r="J46" s="10" t="s">
        <v>352</v>
      </c>
      <c r="K46" s="10" t="s">
        <v>353</v>
      </c>
      <c r="L46" s="10" t="s">
        <v>18</v>
      </c>
      <c r="M46" s="26">
        <v>8.5</v>
      </c>
      <c r="N46" s="10" t="s">
        <v>17</v>
      </c>
      <c r="O46" s="15" t="s">
        <v>354</v>
      </c>
      <c r="P46" s="15" t="s">
        <v>170</v>
      </c>
      <c r="Q46" s="27" t="s">
        <v>171</v>
      </c>
      <c r="R46" s="15" t="s">
        <v>17</v>
      </c>
    </row>
    <row r="47" ht="51" spans="1:18">
      <c r="A47" s="10">
        <v>45</v>
      </c>
      <c r="B47" s="25">
        <v>46333</v>
      </c>
      <c r="C47" s="10">
        <v>7</v>
      </c>
      <c r="D47" s="10" t="s">
        <v>132</v>
      </c>
      <c r="E47" s="10" t="s">
        <v>345</v>
      </c>
      <c r="F47" s="10" t="s">
        <v>64</v>
      </c>
      <c r="G47" s="10" t="s">
        <v>355</v>
      </c>
      <c r="H47" s="10" t="s">
        <v>356</v>
      </c>
      <c r="I47" s="10" t="s">
        <v>357</v>
      </c>
      <c r="J47" s="10" t="s">
        <v>252</v>
      </c>
      <c r="K47" s="10" t="s">
        <v>358</v>
      </c>
      <c r="L47" s="10" t="s">
        <v>18</v>
      </c>
      <c r="M47" s="26">
        <v>8.5</v>
      </c>
      <c r="N47" s="10" t="s">
        <v>17</v>
      </c>
      <c r="O47" s="15" t="s">
        <v>359</v>
      </c>
      <c r="P47" s="15" t="s">
        <v>315</v>
      </c>
      <c r="Q47" s="27" t="s">
        <v>316</v>
      </c>
      <c r="R47" s="15" t="s">
        <v>17</v>
      </c>
    </row>
    <row r="48" ht="84" spans="1:18">
      <c r="A48" s="10">
        <v>46</v>
      </c>
      <c r="B48" s="25">
        <v>46334</v>
      </c>
      <c r="C48" s="10">
        <v>7</v>
      </c>
      <c r="D48" s="10" t="s">
        <v>138</v>
      </c>
      <c r="E48" s="10" t="s">
        <v>345</v>
      </c>
      <c r="F48" s="10" t="s">
        <v>64</v>
      </c>
      <c r="G48" s="10" t="s">
        <v>116</v>
      </c>
      <c r="H48" s="10" t="s">
        <v>360</v>
      </c>
      <c r="I48" s="10" t="s">
        <v>361</v>
      </c>
      <c r="J48" s="10" t="s">
        <v>232</v>
      </c>
      <c r="K48" s="10" t="s">
        <v>362</v>
      </c>
      <c r="L48" s="10" t="s">
        <v>18</v>
      </c>
      <c r="M48" s="26">
        <v>7</v>
      </c>
      <c r="N48" s="10" t="s">
        <v>17</v>
      </c>
      <c r="O48" s="15" t="s">
        <v>363</v>
      </c>
      <c r="P48" s="15" t="s">
        <v>364</v>
      </c>
      <c r="Q48" s="27" t="s">
        <v>365</v>
      </c>
      <c r="R48" s="15" t="s">
        <v>366</v>
      </c>
    </row>
    <row r="49" ht="84" spans="1:18">
      <c r="A49" s="10">
        <v>47</v>
      </c>
      <c r="B49" s="25">
        <v>46335</v>
      </c>
      <c r="C49" s="10">
        <v>7</v>
      </c>
      <c r="D49" s="10" t="s">
        <v>146</v>
      </c>
      <c r="E49" s="10" t="s">
        <v>345</v>
      </c>
      <c r="F49" s="10" t="s">
        <v>64</v>
      </c>
      <c r="G49" s="10" t="s">
        <v>116</v>
      </c>
      <c r="H49" s="10" t="s">
        <v>367</v>
      </c>
      <c r="I49" s="10" t="s">
        <v>368</v>
      </c>
      <c r="J49" s="10" t="s">
        <v>232</v>
      </c>
      <c r="K49" s="10" t="s">
        <v>369</v>
      </c>
      <c r="L49" s="10" t="s">
        <v>18</v>
      </c>
      <c r="M49" s="26">
        <v>8.5</v>
      </c>
      <c r="N49" s="10" t="s">
        <v>17</v>
      </c>
      <c r="O49" s="15" t="s">
        <v>363</v>
      </c>
      <c r="P49" s="15" t="s">
        <v>364</v>
      </c>
      <c r="Q49" s="27" t="s">
        <v>365</v>
      </c>
      <c r="R49" s="15" t="s">
        <v>370</v>
      </c>
    </row>
    <row r="50" ht="84" spans="1:18">
      <c r="A50" s="10">
        <v>48</v>
      </c>
      <c r="B50" s="25">
        <v>46336</v>
      </c>
      <c r="C50" s="10">
        <v>7</v>
      </c>
      <c r="D50" s="10" t="s">
        <v>150</v>
      </c>
      <c r="E50" s="10" t="s">
        <v>345</v>
      </c>
      <c r="F50" s="10" t="s">
        <v>64</v>
      </c>
      <c r="G50" s="10" t="s">
        <v>355</v>
      </c>
      <c r="H50" s="10" t="s">
        <v>371</v>
      </c>
      <c r="I50" s="10" t="s">
        <v>372</v>
      </c>
      <c r="J50" s="10" t="s">
        <v>352</v>
      </c>
      <c r="K50" s="10" t="s">
        <v>373</v>
      </c>
      <c r="L50" s="10" t="s">
        <v>18</v>
      </c>
      <c r="M50" s="26">
        <v>8.5</v>
      </c>
      <c r="N50" s="10" t="s">
        <v>17</v>
      </c>
      <c r="O50" s="15" t="s">
        <v>374</v>
      </c>
      <c r="P50" s="15" t="s">
        <v>364</v>
      </c>
      <c r="Q50" s="27" t="s">
        <v>365</v>
      </c>
      <c r="R50" s="15" t="s">
        <v>375</v>
      </c>
    </row>
    <row r="51" ht="84" spans="1:18">
      <c r="A51" s="10">
        <v>49</v>
      </c>
      <c r="B51" s="25">
        <v>46337</v>
      </c>
      <c r="C51" s="10">
        <v>7</v>
      </c>
      <c r="D51" s="10" t="s">
        <v>158</v>
      </c>
      <c r="E51" s="10" t="s">
        <v>345</v>
      </c>
      <c r="F51" s="10" t="s">
        <v>64</v>
      </c>
      <c r="G51" s="10" t="s">
        <v>116</v>
      </c>
      <c r="H51" s="10" t="s">
        <v>376</v>
      </c>
      <c r="I51" s="10" t="s">
        <v>377</v>
      </c>
      <c r="J51" s="10" t="s">
        <v>141</v>
      </c>
      <c r="K51" s="10" t="s">
        <v>378</v>
      </c>
      <c r="L51" s="10" t="s">
        <v>18</v>
      </c>
      <c r="M51" s="26">
        <v>8.5</v>
      </c>
      <c r="N51" s="10" t="s">
        <v>17</v>
      </c>
      <c r="O51" s="15" t="s">
        <v>363</v>
      </c>
      <c r="P51" s="15" t="s">
        <v>364</v>
      </c>
      <c r="Q51" s="27" t="s">
        <v>365</v>
      </c>
      <c r="R51" s="15" t="s">
        <v>17</v>
      </c>
    </row>
    <row r="52" ht="51" spans="1:18">
      <c r="A52" s="10">
        <v>50</v>
      </c>
      <c r="B52" s="25">
        <v>46338</v>
      </c>
      <c r="C52" s="10">
        <v>8</v>
      </c>
      <c r="D52" s="10" t="s">
        <v>114</v>
      </c>
      <c r="E52" s="10" t="s">
        <v>379</v>
      </c>
      <c r="F52" s="10" t="s">
        <v>67</v>
      </c>
      <c r="G52" s="10" t="s">
        <v>116</v>
      </c>
      <c r="H52" s="10" t="s">
        <v>380</v>
      </c>
      <c r="I52" s="10" t="s">
        <v>381</v>
      </c>
      <c r="J52" s="10" t="s">
        <v>188</v>
      </c>
      <c r="K52" s="10" t="s">
        <v>382</v>
      </c>
      <c r="L52" s="10" t="s">
        <v>18</v>
      </c>
      <c r="M52" s="26">
        <v>8.5</v>
      </c>
      <c r="N52" s="10" t="s">
        <v>17</v>
      </c>
      <c r="O52" s="15" t="s">
        <v>383</v>
      </c>
      <c r="P52" s="15" t="s">
        <v>384</v>
      </c>
      <c r="Q52" s="27" t="s">
        <v>385</v>
      </c>
      <c r="R52" s="15" t="s">
        <v>17</v>
      </c>
    </row>
    <row r="53" ht="51" spans="1:18">
      <c r="A53" s="10">
        <v>51</v>
      </c>
      <c r="B53" s="25">
        <v>46339</v>
      </c>
      <c r="C53" s="10">
        <v>8</v>
      </c>
      <c r="D53" s="10" t="s">
        <v>124</v>
      </c>
      <c r="E53" s="10" t="s">
        <v>379</v>
      </c>
      <c r="F53" s="10" t="s">
        <v>67</v>
      </c>
      <c r="G53" s="10" t="s">
        <v>355</v>
      </c>
      <c r="H53" s="10" t="s">
        <v>386</v>
      </c>
      <c r="I53" s="10" t="s">
        <v>387</v>
      </c>
      <c r="J53" s="10" t="s">
        <v>232</v>
      </c>
      <c r="K53" s="10" t="s">
        <v>388</v>
      </c>
      <c r="L53" s="10" t="s">
        <v>18</v>
      </c>
      <c r="M53" s="26">
        <v>8.5</v>
      </c>
      <c r="N53" s="10" t="s">
        <v>17</v>
      </c>
      <c r="O53" s="15" t="s">
        <v>383</v>
      </c>
      <c r="P53" s="15" t="s">
        <v>384</v>
      </c>
      <c r="Q53" s="27" t="s">
        <v>385</v>
      </c>
      <c r="R53" s="15" t="s">
        <v>17</v>
      </c>
    </row>
    <row r="54" ht="51" spans="1:18">
      <c r="A54" s="10">
        <v>52</v>
      </c>
      <c r="B54" s="25">
        <v>46340</v>
      </c>
      <c r="C54" s="10">
        <v>8</v>
      </c>
      <c r="D54" s="10" t="s">
        <v>132</v>
      </c>
      <c r="E54" s="10" t="s">
        <v>379</v>
      </c>
      <c r="F54" s="10" t="s">
        <v>67</v>
      </c>
      <c r="G54" s="10" t="s">
        <v>116</v>
      </c>
      <c r="H54" s="10" t="s">
        <v>389</v>
      </c>
      <c r="I54" s="10" t="s">
        <v>390</v>
      </c>
      <c r="J54" s="10" t="s">
        <v>188</v>
      </c>
      <c r="K54" s="10" t="s">
        <v>391</v>
      </c>
      <c r="L54" s="10" t="s">
        <v>18</v>
      </c>
      <c r="M54" s="26">
        <v>8.5</v>
      </c>
      <c r="N54" s="10" t="s">
        <v>17</v>
      </c>
      <c r="O54" s="15" t="s">
        <v>383</v>
      </c>
      <c r="P54" s="15" t="s">
        <v>384</v>
      </c>
      <c r="Q54" s="27" t="s">
        <v>385</v>
      </c>
      <c r="R54" s="15" t="s">
        <v>392</v>
      </c>
    </row>
    <row r="55" ht="51" spans="1:18">
      <c r="A55" s="10">
        <v>53</v>
      </c>
      <c r="B55" s="25">
        <v>46341</v>
      </c>
      <c r="C55" s="10">
        <v>8</v>
      </c>
      <c r="D55" s="10" t="s">
        <v>138</v>
      </c>
      <c r="E55" s="10" t="s">
        <v>379</v>
      </c>
      <c r="F55" s="10" t="s">
        <v>67</v>
      </c>
      <c r="G55" s="10" t="s">
        <v>116</v>
      </c>
      <c r="H55" s="10" t="s">
        <v>393</v>
      </c>
      <c r="I55" s="10" t="s">
        <v>394</v>
      </c>
      <c r="J55" s="10" t="s">
        <v>352</v>
      </c>
      <c r="K55" s="10" t="s">
        <v>395</v>
      </c>
      <c r="L55" s="10" t="s">
        <v>18</v>
      </c>
      <c r="M55" s="26">
        <v>7</v>
      </c>
      <c r="N55" s="10" t="s">
        <v>17</v>
      </c>
      <c r="O55" s="15" t="s">
        <v>383</v>
      </c>
      <c r="P55" s="15" t="s">
        <v>384</v>
      </c>
      <c r="Q55" s="27" t="s">
        <v>385</v>
      </c>
      <c r="R55" s="15" t="s">
        <v>396</v>
      </c>
    </row>
    <row r="56" ht="51" spans="1:18">
      <c r="A56" s="10">
        <v>54</v>
      </c>
      <c r="B56" s="25">
        <v>46342</v>
      </c>
      <c r="C56" s="10">
        <v>8</v>
      </c>
      <c r="D56" s="10" t="s">
        <v>146</v>
      </c>
      <c r="E56" s="10" t="s">
        <v>379</v>
      </c>
      <c r="F56" s="10" t="s">
        <v>67</v>
      </c>
      <c r="G56" s="10" t="s">
        <v>355</v>
      </c>
      <c r="H56" s="10" t="s">
        <v>397</v>
      </c>
      <c r="I56" s="10" t="s">
        <v>398</v>
      </c>
      <c r="J56" s="10" t="s">
        <v>252</v>
      </c>
      <c r="K56" s="10" t="s">
        <v>399</v>
      </c>
      <c r="L56" s="10" t="s">
        <v>18</v>
      </c>
      <c r="M56" s="26">
        <v>8.5</v>
      </c>
      <c r="N56" s="10" t="s">
        <v>17</v>
      </c>
      <c r="O56" s="15" t="s">
        <v>400</v>
      </c>
      <c r="P56" s="15" t="s">
        <v>384</v>
      </c>
      <c r="Q56" s="27" t="s">
        <v>385</v>
      </c>
      <c r="R56" s="15" t="s">
        <v>17</v>
      </c>
    </row>
    <row r="57" ht="51" spans="1:18">
      <c r="A57" s="10">
        <v>55</v>
      </c>
      <c r="B57" s="25">
        <v>46343</v>
      </c>
      <c r="C57" s="10">
        <v>8</v>
      </c>
      <c r="D57" s="10" t="s">
        <v>150</v>
      </c>
      <c r="E57" s="10" t="s">
        <v>379</v>
      </c>
      <c r="F57" s="10" t="s">
        <v>67</v>
      </c>
      <c r="G57" s="10" t="s">
        <v>116</v>
      </c>
      <c r="H57" s="10" t="s">
        <v>401</v>
      </c>
      <c r="I57" s="10" t="s">
        <v>402</v>
      </c>
      <c r="J57" s="10" t="s">
        <v>127</v>
      </c>
      <c r="K57" s="10" t="s">
        <v>403</v>
      </c>
      <c r="L57" s="10" t="s">
        <v>18</v>
      </c>
      <c r="M57" s="26">
        <v>8.5</v>
      </c>
      <c r="N57" s="10" t="s">
        <v>17</v>
      </c>
      <c r="O57" s="15" t="s">
        <v>404</v>
      </c>
      <c r="P57" s="15" t="s">
        <v>384</v>
      </c>
      <c r="Q57" s="27" t="s">
        <v>385</v>
      </c>
      <c r="R57" s="15" t="s">
        <v>17</v>
      </c>
    </row>
    <row r="58" ht="51" spans="1:18">
      <c r="A58" s="10">
        <v>56</v>
      </c>
      <c r="B58" s="25">
        <v>46344</v>
      </c>
      <c r="C58" s="10">
        <v>8</v>
      </c>
      <c r="D58" s="10" t="s">
        <v>158</v>
      </c>
      <c r="E58" s="10" t="s">
        <v>379</v>
      </c>
      <c r="F58" s="10" t="s">
        <v>67</v>
      </c>
      <c r="G58" s="10" t="s">
        <v>116</v>
      </c>
      <c r="H58" s="10" t="s">
        <v>405</v>
      </c>
      <c r="I58" s="10" t="s">
        <v>406</v>
      </c>
      <c r="J58" s="10" t="s">
        <v>232</v>
      </c>
      <c r="K58" s="10" t="s">
        <v>407</v>
      </c>
      <c r="L58" s="10" t="s">
        <v>18</v>
      </c>
      <c r="M58" s="26">
        <v>8.5</v>
      </c>
      <c r="N58" s="10" t="s">
        <v>17</v>
      </c>
      <c r="O58" s="15" t="s">
        <v>383</v>
      </c>
      <c r="P58" s="15" t="s">
        <v>384</v>
      </c>
      <c r="Q58" s="27" t="s">
        <v>385</v>
      </c>
      <c r="R58" s="15" t="s">
        <v>17</v>
      </c>
    </row>
    <row r="59" ht="118" spans="1:18">
      <c r="A59" s="10">
        <v>57</v>
      </c>
      <c r="B59" s="25">
        <v>46345</v>
      </c>
      <c r="C59" s="10">
        <v>9</v>
      </c>
      <c r="D59" s="10" t="s">
        <v>114</v>
      </c>
      <c r="E59" s="10" t="s">
        <v>408</v>
      </c>
      <c r="F59" s="10" t="s">
        <v>71</v>
      </c>
      <c r="G59" s="10" t="s">
        <v>355</v>
      </c>
      <c r="H59" s="10" t="s">
        <v>409</v>
      </c>
      <c r="I59" s="10" t="s">
        <v>410</v>
      </c>
      <c r="J59" s="10" t="s">
        <v>352</v>
      </c>
      <c r="K59" s="10" t="s">
        <v>411</v>
      </c>
      <c r="L59" s="10" t="s">
        <v>18</v>
      </c>
      <c r="M59" s="26">
        <v>8.5</v>
      </c>
      <c r="N59" s="10" t="s">
        <v>17</v>
      </c>
      <c r="O59" s="15" t="s">
        <v>412</v>
      </c>
      <c r="P59" s="15" t="s">
        <v>413</v>
      </c>
      <c r="Q59" s="27" t="s">
        <v>414</v>
      </c>
      <c r="R59" s="15" t="s">
        <v>415</v>
      </c>
    </row>
    <row r="60" ht="118" spans="1:18">
      <c r="A60" s="10">
        <v>58</v>
      </c>
      <c r="B60" s="25">
        <v>46346</v>
      </c>
      <c r="C60" s="10">
        <v>9</v>
      </c>
      <c r="D60" s="10" t="s">
        <v>124</v>
      </c>
      <c r="E60" s="10" t="s">
        <v>408</v>
      </c>
      <c r="F60" s="10" t="s">
        <v>71</v>
      </c>
      <c r="G60" s="10" t="s">
        <v>116</v>
      </c>
      <c r="H60" s="10" t="s">
        <v>416</v>
      </c>
      <c r="I60" s="10" t="s">
        <v>417</v>
      </c>
      <c r="J60" s="10" t="s">
        <v>352</v>
      </c>
      <c r="K60" s="10" t="s">
        <v>418</v>
      </c>
      <c r="L60" s="10" t="s">
        <v>18</v>
      </c>
      <c r="M60" s="26">
        <v>8.5</v>
      </c>
      <c r="N60" s="10" t="s">
        <v>17</v>
      </c>
      <c r="O60" s="15" t="s">
        <v>412</v>
      </c>
      <c r="P60" s="15" t="s">
        <v>413</v>
      </c>
      <c r="Q60" s="27" t="s">
        <v>414</v>
      </c>
      <c r="R60" s="15" t="s">
        <v>17</v>
      </c>
    </row>
    <row r="61" ht="118" spans="1:18">
      <c r="A61" s="10">
        <v>59</v>
      </c>
      <c r="B61" s="25">
        <v>46347</v>
      </c>
      <c r="C61" s="10">
        <v>9</v>
      </c>
      <c r="D61" s="10" t="s">
        <v>132</v>
      </c>
      <c r="E61" s="10" t="s">
        <v>408</v>
      </c>
      <c r="F61" s="10" t="s">
        <v>71</v>
      </c>
      <c r="G61" s="10" t="s">
        <v>116</v>
      </c>
      <c r="H61" s="10" t="s">
        <v>419</v>
      </c>
      <c r="I61" s="10" t="s">
        <v>420</v>
      </c>
      <c r="J61" s="10" t="s">
        <v>352</v>
      </c>
      <c r="K61" s="10" t="s">
        <v>421</v>
      </c>
      <c r="L61" s="10" t="s">
        <v>18</v>
      </c>
      <c r="M61" s="26">
        <v>8.5</v>
      </c>
      <c r="N61" s="10" t="s">
        <v>17</v>
      </c>
      <c r="O61" s="15" t="s">
        <v>422</v>
      </c>
      <c r="P61" s="15" t="s">
        <v>413</v>
      </c>
      <c r="Q61" s="27" t="s">
        <v>414</v>
      </c>
      <c r="R61" s="15" t="s">
        <v>17</v>
      </c>
    </row>
    <row r="62" ht="118" spans="1:18">
      <c r="A62" s="10">
        <v>60</v>
      </c>
      <c r="B62" s="25">
        <v>46348</v>
      </c>
      <c r="C62" s="10">
        <v>9</v>
      </c>
      <c r="D62" s="10" t="s">
        <v>138</v>
      </c>
      <c r="E62" s="10" t="s">
        <v>408</v>
      </c>
      <c r="F62" s="10" t="s">
        <v>71</v>
      </c>
      <c r="G62" s="10" t="s">
        <v>355</v>
      </c>
      <c r="H62" s="10" t="s">
        <v>423</v>
      </c>
      <c r="I62" s="10" t="s">
        <v>424</v>
      </c>
      <c r="J62" s="10" t="s">
        <v>352</v>
      </c>
      <c r="K62" s="10" t="s">
        <v>425</v>
      </c>
      <c r="L62" s="10" t="s">
        <v>18</v>
      </c>
      <c r="M62" s="26">
        <v>7</v>
      </c>
      <c r="N62" s="10" t="s">
        <v>17</v>
      </c>
      <c r="O62" s="15" t="s">
        <v>426</v>
      </c>
      <c r="P62" s="15" t="s">
        <v>413</v>
      </c>
      <c r="Q62" s="27" t="s">
        <v>414</v>
      </c>
      <c r="R62" s="15" t="s">
        <v>427</v>
      </c>
    </row>
    <row r="63" ht="34" spans="1:18">
      <c r="A63" s="10">
        <v>61</v>
      </c>
      <c r="B63" s="25">
        <v>46349</v>
      </c>
      <c r="C63" s="10">
        <v>9</v>
      </c>
      <c r="D63" s="10" t="s">
        <v>146</v>
      </c>
      <c r="E63" s="10" t="s">
        <v>408</v>
      </c>
      <c r="F63" s="10" t="s">
        <v>71</v>
      </c>
      <c r="G63" s="10" t="s">
        <v>116</v>
      </c>
      <c r="H63" s="10" t="s">
        <v>428</v>
      </c>
      <c r="I63" s="10" t="s">
        <v>429</v>
      </c>
      <c r="J63" s="10" t="s">
        <v>153</v>
      </c>
      <c r="K63" s="10" t="s">
        <v>430</v>
      </c>
      <c r="L63" s="10" t="s">
        <v>18</v>
      </c>
      <c r="M63" s="26">
        <v>8.5</v>
      </c>
      <c r="N63" s="10" t="s">
        <v>17</v>
      </c>
      <c r="O63" s="15" t="s">
        <v>431</v>
      </c>
      <c r="P63" s="15" t="s">
        <v>432</v>
      </c>
      <c r="Q63" s="27" t="s">
        <v>433</v>
      </c>
      <c r="R63" s="15" t="s">
        <v>17</v>
      </c>
    </row>
    <row r="64" ht="101" spans="1:18">
      <c r="A64" s="10">
        <v>62</v>
      </c>
      <c r="B64" s="25">
        <v>46350</v>
      </c>
      <c r="C64" s="10">
        <v>9</v>
      </c>
      <c r="D64" s="10" t="s">
        <v>150</v>
      </c>
      <c r="E64" s="10" t="s">
        <v>408</v>
      </c>
      <c r="F64" s="10" t="s">
        <v>71</v>
      </c>
      <c r="G64" s="10" t="s">
        <v>116</v>
      </c>
      <c r="H64" s="10" t="s">
        <v>434</v>
      </c>
      <c r="I64" s="10" t="s">
        <v>435</v>
      </c>
      <c r="J64" s="10" t="s">
        <v>274</v>
      </c>
      <c r="K64" s="10" t="s">
        <v>436</v>
      </c>
      <c r="L64" s="10" t="s">
        <v>18</v>
      </c>
      <c r="M64" s="26">
        <v>8.5</v>
      </c>
      <c r="N64" s="10" t="s">
        <v>17</v>
      </c>
      <c r="O64" s="15" t="s">
        <v>437</v>
      </c>
      <c r="P64" s="15" t="s">
        <v>438</v>
      </c>
      <c r="Q64" s="27" t="s">
        <v>439</v>
      </c>
      <c r="R64" s="15" t="s">
        <v>17</v>
      </c>
    </row>
    <row r="65" ht="101" spans="1:18">
      <c r="A65" s="10">
        <v>63</v>
      </c>
      <c r="B65" s="25">
        <v>46351</v>
      </c>
      <c r="C65" s="10">
        <v>9</v>
      </c>
      <c r="D65" s="10" t="s">
        <v>158</v>
      </c>
      <c r="E65" s="10" t="s">
        <v>408</v>
      </c>
      <c r="F65" s="10" t="s">
        <v>71</v>
      </c>
      <c r="G65" s="10" t="s">
        <v>355</v>
      </c>
      <c r="H65" s="10" t="s">
        <v>440</v>
      </c>
      <c r="I65" s="10" t="s">
        <v>441</v>
      </c>
      <c r="J65" s="10" t="s">
        <v>153</v>
      </c>
      <c r="K65" s="10" t="s">
        <v>442</v>
      </c>
      <c r="L65" s="10" t="s">
        <v>18</v>
      </c>
      <c r="M65" s="26">
        <v>8.5</v>
      </c>
      <c r="N65" s="10" t="s">
        <v>17</v>
      </c>
      <c r="O65" s="15" t="s">
        <v>437</v>
      </c>
      <c r="P65" s="15" t="s">
        <v>438</v>
      </c>
      <c r="Q65" s="27" t="s">
        <v>439</v>
      </c>
      <c r="R65" s="15" t="s">
        <v>17</v>
      </c>
    </row>
    <row r="66" ht="51" spans="1:18">
      <c r="A66" s="10">
        <v>64</v>
      </c>
      <c r="B66" s="25">
        <v>46352</v>
      </c>
      <c r="C66" s="10">
        <v>10</v>
      </c>
      <c r="D66" s="10" t="s">
        <v>114</v>
      </c>
      <c r="E66" s="10" t="s">
        <v>443</v>
      </c>
      <c r="F66" s="10" t="s">
        <v>75</v>
      </c>
      <c r="G66" s="10" t="s">
        <v>116</v>
      </c>
      <c r="H66" s="10" t="s">
        <v>444</v>
      </c>
      <c r="I66" s="10" t="s">
        <v>445</v>
      </c>
      <c r="J66" s="10" t="s">
        <v>135</v>
      </c>
      <c r="K66" s="10" t="s">
        <v>446</v>
      </c>
      <c r="L66" s="10" t="s">
        <v>18</v>
      </c>
      <c r="M66" s="26">
        <v>8.5</v>
      </c>
      <c r="N66" s="10" t="s">
        <v>17</v>
      </c>
      <c r="O66" s="15" t="s">
        <v>447</v>
      </c>
      <c r="P66" s="15" t="s">
        <v>315</v>
      </c>
      <c r="Q66" s="27" t="s">
        <v>316</v>
      </c>
      <c r="R66" s="15" t="s">
        <v>448</v>
      </c>
    </row>
    <row r="67" ht="51" spans="1:18">
      <c r="A67" s="10">
        <v>65</v>
      </c>
      <c r="B67" s="25">
        <v>46353</v>
      </c>
      <c r="C67" s="10">
        <v>10</v>
      </c>
      <c r="D67" s="10" t="s">
        <v>124</v>
      </c>
      <c r="E67" s="10" t="s">
        <v>443</v>
      </c>
      <c r="F67" s="10" t="s">
        <v>75</v>
      </c>
      <c r="G67" s="10" t="s">
        <v>116</v>
      </c>
      <c r="H67" s="10" t="s">
        <v>449</v>
      </c>
      <c r="I67" s="10" t="s">
        <v>450</v>
      </c>
      <c r="J67" s="10" t="s">
        <v>252</v>
      </c>
      <c r="K67" s="10" t="s">
        <v>451</v>
      </c>
      <c r="L67" s="10" t="s">
        <v>18</v>
      </c>
      <c r="M67" s="26">
        <v>8.5</v>
      </c>
      <c r="N67" s="10" t="s">
        <v>17</v>
      </c>
      <c r="O67" s="15" t="s">
        <v>452</v>
      </c>
      <c r="P67" s="15" t="s">
        <v>453</v>
      </c>
      <c r="Q67" s="27" t="s">
        <v>454</v>
      </c>
      <c r="R67" s="15" t="s">
        <v>17</v>
      </c>
    </row>
    <row r="68" ht="68" spans="1:18">
      <c r="A68" s="10">
        <v>66</v>
      </c>
      <c r="B68" s="25">
        <v>46354</v>
      </c>
      <c r="C68" s="10">
        <v>10</v>
      </c>
      <c r="D68" s="10" t="s">
        <v>132</v>
      </c>
      <c r="E68" s="10" t="s">
        <v>443</v>
      </c>
      <c r="F68" s="10" t="s">
        <v>75</v>
      </c>
      <c r="G68" s="10" t="s">
        <v>355</v>
      </c>
      <c r="H68" s="10" t="s">
        <v>455</v>
      </c>
      <c r="I68" s="10" t="s">
        <v>456</v>
      </c>
      <c r="J68" s="10" t="s">
        <v>232</v>
      </c>
      <c r="K68" s="10" t="s">
        <v>457</v>
      </c>
      <c r="L68" s="10" t="s">
        <v>18</v>
      </c>
      <c r="M68" s="26">
        <v>8.5</v>
      </c>
      <c r="N68" s="10" t="s">
        <v>17</v>
      </c>
      <c r="O68" s="15" t="s">
        <v>143</v>
      </c>
      <c r="P68" s="15" t="s">
        <v>144</v>
      </c>
      <c r="Q68" s="27" t="s">
        <v>145</v>
      </c>
      <c r="R68" s="15" t="s">
        <v>17</v>
      </c>
    </row>
    <row r="69" ht="68" spans="1:18">
      <c r="A69" s="10">
        <v>67</v>
      </c>
      <c r="B69" s="25">
        <v>46355</v>
      </c>
      <c r="C69" s="10">
        <v>10</v>
      </c>
      <c r="D69" s="10" t="s">
        <v>138</v>
      </c>
      <c r="E69" s="10" t="s">
        <v>443</v>
      </c>
      <c r="F69" s="10" t="s">
        <v>75</v>
      </c>
      <c r="G69" s="10" t="s">
        <v>116</v>
      </c>
      <c r="H69" s="10" t="s">
        <v>458</v>
      </c>
      <c r="I69" s="10" t="s">
        <v>459</v>
      </c>
      <c r="J69" s="10" t="s">
        <v>252</v>
      </c>
      <c r="K69" s="10" t="s">
        <v>460</v>
      </c>
      <c r="L69" s="10" t="s">
        <v>18</v>
      </c>
      <c r="M69" s="26">
        <v>7</v>
      </c>
      <c r="N69" s="10" t="s">
        <v>17</v>
      </c>
      <c r="O69" s="15" t="s">
        <v>461</v>
      </c>
      <c r="P69" s="15" t="s">
        <v>343</v>
      </c>
      <c r="Q69" s="27" t="s">
        <v>344</v>
      </c>
      <c r="R69" s="15" t="s">
        <v>17</v>
      </c>
    </row>
    <row r="70" ht="101" spans="1:18">
      <c r="A70" s="10">
        <v>68</v>
      </c>
      <c r="B70" s="25">
        <v>46356</v>
      </c>
      <c r="C70" s="10">
        <v>10</v>
      </c>
      <c r="D70" s="10" t="s">
        <v>146</v>
      </c>
      <c r="E70" s="10" t="s">
        <v>443</v>
      </c>
      <c r="F70" s="10" t="s">
        <v>75</v>
      </c>
      <c r="G70" s="10" t="s">
        <v>116</v>
      </c>
      <c r="H70" s="10" t="s">
        <v>462</v>
      </c>
      <c r="I70" s="10" t="s">
        <v>463</v>
      </c>
      <c r="J70" s="10" t="s">
        <v>464</v>
      </c>
      <c r="K70" s="10" t="s">
        <v>465</v>
      </c>
      <c r="L70" s="10" t="s">
        <v>18</v>
      </c>
      <c r="M70" s="26">
        <v>8.5</v>
      </c>
      <c r="N70" s="10" t="s">
        <v>17</v>
      </c>
      <c r="O70" s="15" t="s">
        <v>466</v>
      </c>
      <c r="P70" s="15" t="s">
        <v>289</v>
      </c>
      <c r="Q70" s="27" t="s">
        <v>290</v>
      </c>
      <c r="R70" s="15" t="s">
        <v>17</v>
      </c>
    </row>
    <row r="71" ht="68" spans="1:18">
      <c r="A71" s="10">
        <v>69</v>
      </c>
      <c r="B71" s="25">
        <v>46357</v>
      </c>
      <c r="C71" s="10">
        <v>10</v>
      </c>
      <c r="D71" s="10" t="s">
        <v>150</v>
      </c>
      <c r="E71" s="10" t="s">
        <v>443</v>
      </c>
      <c r="F71" s="10" t="s">
        <v>75</v>
      </c>
      <c r="G71" s="10" t="s">
        <v>355</v>
      </c>
      <c r="H71" s="10" t="s">
        <v>467</v>
      </c>
      <c r="I71" s="10" t="s">
        <v>468</v>
      </c>
      <c r="J71" s="10" t="s">
        <v>153</v>
      </c>
      <c r="K71" s="10" t="s">
        <v>469</v>
      </c>
      <c r="L71" s="10" t="s">
        <v>18</v>
      </c>
      <c r="M71" s="26">
        <v>8.5</v>
      </c>
      <c r="N71" s="10" t="s">
        <v>17</v>
      </c>
      <c r="O71" s="15" t="s">
        <v>461</v>
      </c>
      <c r="P71" s="15" t="s">
        <v>343</v>
      </c>
      <c r="Q71" s="27" t="s">
        <v>344</v>
      </c>
      <c r="R71" s="15" t="s">
        <v>470</v>
      </c>
    </row>
    <row r="72" ht="51" spans="1:18">
      <c r="A72" s="10">
        <v>70</v>
      </c>
      <c r="B72" s="25">
        <v>46358</v>
      </c>
      <c r="C72" s="10">
        <v>10</v>
      </c>
      <c r="D72" s="10" t="s">
        <v>158</v>
      </c>
      <c r="E72" s="10" t="s">
        <v>443</v>
      </c>
      <c r="F72" s="10" t="s">
        <v>75</v>
      </c>
      <c r="G72" s="10" t="s">
        <v>116</v>
      </c>
      <c r="H72" s="10" t="s">
        <v>471</v>
      </c>
      <c r="I72" s="10" t="s">
        <v>472</v>
      </c>
      <c r="J72" s="10" t="s">
        <v>153</v>
      </c>
      <c r="K72" s="10" t="s">
        <v>473</v>
      </c>
      <c r="L72" s="10" t="s">
        <v>18</v>
      </c>
      <c r="M72" s="26">
        <v>8.5</v>
      </c>
      <c r="N72" s="10" t="s">
        <v>17</v>
      </c>
      <c r="O72" s="15" t="s">
        <v>474</v>
      </c>
      <c r="P72" s="15" t="s">
        <v>475</v>
      </c>
      <c r="Q72" s="27" t="s">
        <v>476</v>
      </c>
      <c r="R72" s="15" t="s">
        <v>17</v>
      </c>
    </row>
    <row r="73" ht="84" spans="1:18">
      <c r="A73" s="10">
        <v>71</v>
      </c>
      <c r="B73" s="25">
        <v>46359</v>
      </c>
      <c r="C73" s="10">
        <v>11</v>
      </c>
      <c r="D73" s="10" t="s">
        <v>114</v>
      </c>
      <c r="E73" s="10" t="s">
        <v>477</v>
      </c>
      <c r="F73" s="10" t="s">
        <v>80</v>
      </c>
      <c r="G73" s="10" t="s">
        <v>116</v>
      </c>
      <c r="H73" s="10" t="s">
        <v>478</v>
      </c>
      <c r="I73" s="10" t="s">
        <v>479</v>
      </c>
      <c r="J73" s="10" t="s">
        <v>232</v>
      </c>
      <c r="K73" s="10" t="s">
        <v>480</v>
      </c>
      <c r="L73" s="10" t="s">
        <v>18</v>
      </c>
      <c r="M73" s="26">
        <v>8.5</v>
      </c>
      <c r="N73" s="10" t="s">
        <v>17</v>
      </c>
      <c r="O73" s="15" t="s">
        <v>306</v>
      </c>
      <c r="P73" s="15" t="s">
        <v>307</v>
      </c>
      <c r="Q73" s="27" t="s">
        <v>308</v>
      </c>
      <c r="R73" s="15" t="s">
        <v>17</v>
      </c>
    </row>
    <row r="74" ht="34" spans="1:18">
      <c r="A74" s="10">
        <v>72</v>
      </c>
      <c r="B74" s="25">
        <v>46360</v>
      </c>
      <c r="C74" s="10">
        <v>11</v>
      </c>
      <c r="D74" s="10" t="s">
        <v>124</v>
      </c>
      <c r="E74" s="10" t="s">
        <v>477</v>
      </c>
      <c r="F74" s="10" t="s">
        <v>80</v>
      </c>
      <c r="G74" s="10" t="s">
        <v>355</v>
      </c>
      <c r="H74" s="10" t="s">
        <v>481</v>
      </c>
      <c r="I74" s="10" t="s">
        <v>482</v>
      </c>
      <c r="J74" s="10" t="s">
        <v>232</v>
      </c>
      <c r="K74" s="10" t="s">
        <v>483</v>
      </c>
      <c r="L74" s="10" t="s">
        <v>18</v>
      </c>
      <c r="M74" s="26">
        <v>8.5</v>
      </c>
      <c r="N74" s="10" t="s">
        <v>17</v>
      </c>
      <c r="O74" s="15" t="s">
        <v>484</v>
      </c>
      <c r="P74" s="15" t="s">
        <v>301</v>
      </c>
      <c r="Q74" s="27" t="s">
        <v>302</v>
      </c>
      <c r="R74" s="15" t="s">
        <v>17</v>
      </c>
    </row>
    <row r="75" ht="84" spans="1:18">
      <c r="A75" s="10">
        <v>73</v>
      </c>
      <c r="B75" s="25">
        <v>46361</v>
      </c>
      <c r="C75" s="10">
        <v>11</v>
      </c>
      <c r="D75" s="10" t="s">
        <v>132</v>
      </c>
      <c r="E75" s="10" t="s">
        <v>477</v>
      </c>
      <c r="F75" s="10" t="s">
        <v>80</v>
      </c>
      <c r="G75" s="10" t="s">
        <v>116</v>
      </c>
      <c r="H75" s="10" t="s">
        <v>485</v>
      </c>
      <c r="I75" s="10" t="s">
        <v>486</v>
      </c>
      <c r="J75" s="10" t="s">
        <v>232</v>
      </c>
      <c r="K75" s="10" t="s">
        <v>487</v>
      </c>
      <c r="L75" s="10" t="s">
        <v>18</v>
      </c>
      <c r="M75" s="26">
        <v>8.5</v>
      </c>
      <c r="N75" s="10" t="s">
        <v>17</v>
      </c>
      <c r="O75" s="15" t="s">
        <v>306</v>
      </c>
      <c r="P75" s="15" t="s">
        <v>307</v>
      </c>
      <c r="Q75" s="27" t="s">
        <v>308</v>
      </c>
      <c r="R75" s="15" t="s">
        <v>17</v>
      </c>
    </row>
    <row r="76" ht="84" spans="1:18">
      <c r="A76" s="10">
        <v>74</v>
      </c>
      <c r="B76" s="25">
        <v>46362</v>
      </c>
      <c r="C76" s="10">
        <v>11</v>
      </c>
      <c r="D76" s="10" t="s">
        <v>138</v>
      </c>
      <c r="E76" s="10" t="s">
        <v>477</v>
      </c>
      <c r="F76" s="10" t="s">
        <v>80</v>
      </c>
      <c r="G76" s="10" t="s">
        <v>116</v>
      </c>
      <c r="H76" s="10" t="s">
        <v>488</v>
      </c>
      <c r="I76" s="10" t="s">
        <v>489</v>
      </c>
      <c r="J76" s="10" t="s">
        <v>232</v>
      </c>
      <c r="K76" s="10" t="s">
        <v>490</v>
      </c>
      <c r="L76" s="10" t="s">
        <v>18</v>
      </c>
      <c r="M76" s="26">
        <v>7</v>
      </c>
      <c r="N76" s="10" t="s">
        <v>17</v>
      </c>
      <c r="O76" s="15" t="s">
        <v>491</v>
      </c>
      <c r="P76" s="15" t="s">
        <v>307</v>
      </c>
      <c r="Q76" s="27" t="s">
        <v>308</v>
      </c>
      <c r="R76" s="15" t="s">
        <v>17</v>
      </c>
    </row>
    <row r="77" ht="84" spans="1:18">
      <c r="A77" s="10">
        <v>75</v>
      </c>
      <c r="B77" s="25">
        <v>46363</v>
      </c>
      <c r="C77" s="10">
        <v>11</v>
      </c>
      <c r="D77" s="10" t="s">
        <v>146</v>
      </c>
      <c r="E77" s="10" t="s">
        <v>477</v>
      </c>
      <c r="F77" s="10" t="s">
        <v>80</v>
      </c>
      <c r="G77" s="10" t="s">
        <v>355</v>
      </c>
      <c r="H77" s="10" t="s">
        <v>492</v>
      </c>
      <c r="I77" s="10" t="s">
        <v>493</v>
      </c>
      <c r="J77" s="10" t="s">
        <v>188</v>
      </c>
      <c r="K77" s="10" t="s">
        <v>494</v>
      </c>
      <c r="L77" s="10" t="s">
        <v>18</v>
      </c>
      <c r="M77" s="26">
        <v>8.5</v>
      </c>
      <c r="N77" s="10" t="s">
        <v>17</v>
      </c>
      <c r="O77" s="15" t="s">
        <v>306</v>
      </c>
      <c r="P77" s="15" t="s">
        <v>307</v>
      </c>
      <c r="Q77" s="27" t="s">
        <v>308</v>
      </c>
      <c r="R77" s="15" t="s">
        <v>17</v>
      </c>
    </row>
    <row r="78" ht="84" spans="1:18">
      <c r="A78" s="10">
        <v>76</v>
      </c>
      <c r="B78" s="25">
        <v>46364</v>
      </c>
      <c r="C78" s="10">
        <v>11</v>
      </c>
      <c r="D78" s="10" t="s">
        <v>150</v>
      </c>
      <c r="E78" s="10" t="s">
        <v>477</v>
      </c>
      <c r="F78" s="10" t="s">
        <v>80</v>
      </c>
      <c r="G78" s="10" t="s">
        <v>116</v>
      </c>
      <c r="H78" s="10" t="s">
        <v>495</v>
      </c>
      <c r="I78" s="10" t="s">
        <v>496</v>
      </c>
      <c r="J78" s="10" t="s">
        <v>352</v>
      </c>
      <c r="K78" s="10" t="s">
        <v>497</v>
      </c>
      <c r="L78" s="10" t="s">
        <v>18</v>
      </c>
      <c r="M78" s="26">
        <v>8.5</v>
      </c>
      <c r="N78" s="10" t="s">
        <v>17</v>
      </c>
      <c r="O78" s="15" t="s">
        <v>491</v>
      </c>
      <c r="P78" s="15" t="s">
        <v>307</v>
      </c>
      <c r="Q78" s="27" t="s">
        <v>308</v>
      </c>
      <c r="R78" s="15" t="s">
        <v>17</v>
      </c>
    </row>
    <row r="79" ht="84" spans="1:18">
      <c r="A79" s="10">
        <v>77</v>
      </c>
      <c r="B79" s="25">
        <v>46365</v>
      </c>
      <c r="C79" s="10">
        <v>11</v>
      </c>
      <c r="D79" s="10" t="s">
        <v>158</v>
      </c>
      <c r="E79" s="10" t="s">
        <v>477</v>
      </c>
      <c r="F79" s="10" t="s">
        <v>80</v>
      </c>
      <c r="G79" s="10" t="s">
        <v>116</v>
      </c>
      <c r="H79" s="10" t="s">
        <v>498</v>
      </c>
      <c r="I79" s="10" t="s">
        <v>499</v>
      </c>
      <c r="J79" s="10" t="s">
        <v>232</v>
      </c>
      <c r="K79" s="10" t="s">
        <v>500</v>
      </c>
      <c r="L79" s="10" t="s">
        <v>18</v>
      </c>
      <c r="M79" s="26">
        <v>8.5</v>
      </c>
      <c r="N79" s="10" t="s">
        <v>17</v>
      </c>
      <c r="O79" s="15" t="s">
        <v>306</v>
      </c>
      <c r="P79" s="15" t="s">
        <v>307</v>
      </c>
      <c r="Q79" s="27" t="s">
        <v>308</v>
      </c>
      <c r="R79" s="15" t="s">
        <v>501</v>
      </c>
    </row>
    <row r="80" ht="34" spans="1:18">
      <c r="A80" s="10">
        <v>78</v>
      </c>
      <c r="B80" s="25">
        <v>46366</v>
      </c>
      <c r="C80" s="10">
        <v>12</v>
      </c>
      <c r="D80" s="10" t="s">
        <v>114</v>
      </c>
      <c r="E80" s="10" t="s">
        <v>502</v>
      </c>
      <c r="F80" s="10" t="s">
        <v>84</v>
      </c>
      <c r="G80" s="10" t="s">
        <v>355</v>
      </c>
      <c r="H80" s="10" t="s">
        <v>503</v>
      </c>
      <c r="I80" s="10" t="s">
        <v>504</v>
      </c>
      <c r="J80" s="10" t="s">
        <v>352</v>
      </c>
      <c r="K80" s="10" t="s">
        <v>505</v>
      </c>
      <c r="L80" s="10" t="s">
        <v>18</v>
      </c>
      <c r="M80" s="26">
        <v>8.5</v>
      </c>
      <c r="N80" s="10" t="s">
        <v>17</v>
      </c>
      <c r="O80" s="15" t="s">
        <v>506</v>
      </c>
      <c r="P80" s="15" t="s">
        <v>507</v>
      </c>
      <c r="Q80" s="27" t="s">
        <v>508</v>
      </c>
      <c r="R80" s="15" t="s">
        <v>17</v>
      </c>
    </row>
    <row r="81" ht="34" spans="1:18">
      <c r="A81" s="10">
        <v>79</v>
      </c>
      <c r="B81" s="25">
        <v>46367</v>
      </c>
      <c r="C81" s="10">
        <v>12</v>
      </c>
      <c r="D81" s="10" t="s">
        <v>124</v>
      </c>
      <c r="E81" s="10" t="s">
        <v>502</v>
      </c>
      <c r="F81" s="10" t="s">
        <v>84</v>
      </c>
      <c r="G81" s="10" t="s">
        <v>116</v>
      </c>
      <c r="H81" s="10" t="s">
        <v>509</v>
      </c>
      <c r="I81" s="10" t="s">
        <v>510</v>
      </c>
      <c r="J81" s="10" t="s">
        <v>188</v>
      </c>
      <c r="K81" s="10" t="s">
        <v>511</v>
      </c>
      <c r="L81" s="10" t="s">
        <v>18</v>
      </c>
      <c r="M81" s="26">
        <v>8.5</v>
      </c>
      <c r="N81" s="10" t="s">
        <v>17</v>
      </c>
      <c r="O81" s="15" t="s">
        <v>512</v>
      </c>
      <c r="P81" s="15" t="s">
        <v>513</v>
      </c>
      <c r="Q81" s="27" t="s">
        <v>514</v>
      </c>
      <c r="R81" s="15" t="s">
        <v>515</v>
      </c>
    </row>
    <row r="82" ht="34" spans="1:18">
      <c r="A82" s="10">
        <v>80</v>
      </c>
      <c r="B82" s="25">
        <v>46368</v>
      </c>
      <c r="C82" s="10">
        <v>12</v>
      </c>
      <c r="D82" s="10" t="s">
        <v>132</v>
      </c>
      <c r="E82" s="10" t="s">
        <v>502</v>
      </c>
      <c r="F82" s="10" t="s">
        <v>84</v>
      </c>
      <c r="G82" s="10" t="s">
        <v>116</v>
      </c>
      <c r="H82" s="10" t="s">
        <v>516</v>
      </c>
      <c r="I82" s="10" t="s">
        <v>517</v>
      </c>
      <c r="J82" s="10" t="s">
        <v>232</v>
      </c>
      <c r="K82" s="10" t="s">
        <v>518</v>
      </c>
      <c r="L82" s="10" t="s">
        <v>18</v>
      </c>
      <c r="M82" s="26">
        <v>8.5</v>
      </c>
      <c r="N82" s="10" t="s">
        <v>17</v>
      </c>
      <c r="O82" s="15" t="s">
        <v>512</v>
      </c>
      <c r="P82" s="15" t="s">
        <v>513</v>
      </c>
      <c r="Q82" s="27" t="s">
        <v>514</v>
      </c>
      <c r="R82" s="15" t="s">
        <v>17</v>
      </c>
    </row>
    <row r="83" ht="34" spans="1:18">
      <c r="A83" s="10">
        <v>81</v>
      </c>
      <c r="B83" s="25">
        <v>46369</v>
      </c>
      <c r="C83" s="10">
        <v>12</v>
      </c>
      <c r="D83" s="10" t="s">
        <v>138</v>
      </c>
      <c r="E83" s="10" t="s">
        <v>502</v>
      </c>
      <c r="F83" s="10" t="s">
        <v>84</v>
      </c>
      <c r="G83" s="10" t="s">
        <v>355</v>
      </c>
      <c r="H83" s="10" t="s">
        <v>519</v>
      </c>
      <c r="I83" s="10" t="s">
        <v>520</v>
      </c>
      <c r="J83" s="10" t="s">
        <v>127</v>
      </c>
      <c r="K83" s="10" t="s">
        <v>521</v>
      </c>
      <c r="L83" s="10" t="s">
        <v>18</v>
      </c>
      <c r="M83" s="26">
        <v>7</v>
      </c>
      <c r="N83" s="10" t="s">
        <v>17</v>
      </c>
      <c r="O83" s="15" t="s">
        <v>522</v>
      </c>
      <c r="P83" s="15" t="s">
        <v>507</v>
      </c>
      <c r="Q83" s="27" t="s">
        <v>508</v>
      </c>
      <c r="R83" s="15" t="s">
        <v>17</v>
      </c>
    </row>
    <row r="84" ht="34" spans="1:18">
      <c r="A84" s="10">
        <v>82</v>
      </c>
      <c r="B84" s="25">
        <v>46370</v>
      </c>
      <c r="C84" s="10">
        <v>12</v>
      </c>
      <c r="D84" s="10" t="s">
        <v>146</v>
      </c>
      <c r="E84" s="10" t="s">
        <v>502</v>
      </c>
      <c r="F84" s="10" t="s">
        <v>84</v>
      </c>
      <c r="G84" s="10" t="s">
        <v>116</v>
      </c>
      <c r="H84" s="10" t="s">
        <v>523</v>
      </c>
      <c r="I84" s="10" t="s">
        <v>524</v>
      </c>
      <c r="J84" s="10" t="s">
        <v>232</v>
      </c>
      <c r="K84" s="10" t="s">
        <v>525</v>
      </c>
      <c r="L84" s="10" t="s">
        <v>18</v>
      </c>
      <c r="M84" s="26">
        <v>8.5</v>
      </c>
      <c r="N84" s="10" t="s">
        <v>17</v>
      </c>
      <c r="O84" s="15" t="s">
        <v>512</v>
      </c>
      <c r="P84" s="15" t="s">
        <v>513</v>
      </c>
      <c r="Q84" s="27" t="s">
        <v>514</v>
      </c>
      <c r="R84" s="15" t="s">
        <v>526</v>
      </c>
    </row>
    <row r="85" ht="34" spans="1:18">
      <c r="A85" s="10">
        <v>83</v>
      </c>
      <c r="B85" s="25">
        <v>46371</v>
      </c>
      <c r="C85" s="10">
        <v>12</v>
      </c>
      <c r="D85" s="10" t="s">
        <v>150</v>
      </c>
      <c r="E85" s="10" t="s">
        <v>502</v>
      </c>
      <c r="F85" s="10" t="s">
        <v>84</v>
      </c>
      <c r="G85" s="10" t="s">
        <v>116</v>
      </c>
      <c r="H85" s="10" t="s">
        <v>527</v>
      </c>
      <c r="I85" s="10" t="s">
        <v>528</v>
      </c>
      <c r="J85" s="10" t="s">
        <v>252</v>
      </c>
      <c r="K85" s="10" t="s">
        <v>529</v>
      </c>
      <c r="L85" s="10" t="s">
        <v>18</v>
      </c>
      <c r="M85" s="26">
        <v>8.5</v>
      </c>
      <c r="N85" s="10" t="s">
        <v>17</v>
      </c>
      <c r="O85" s="15" t="s">
        <v>530</v>
      </c>
      <c r="P85" s="15" t="s">
        <v>513</v>
      </c>
      <c r="Q85" s="27" t="s">
        <v>514</v>
      </c>
      <c r="R85" s="15" t="s">
        <v>17</v>
      </c>
    </row>
    <row r="86" ht="34" spans="1:18">
      <c r="A86" s="10">
        <v>84</v>
      </c>
      <c r="B86" s="25">
        <v>46372</v>
      </c>
      <c r="C86" s="10">
        <v>12</v>
      </c>
      <c r="D86" s="10" t="s">
        <v>158</v>
      </c>
      <c r="E86" s="10" t="s">
        <v>502</v>
      </c>
      <c r="F86" s="10" t="s">
        <v>84</v>
      </c>
      <c r="G86" s="10" t="s">
        <v>355</v>
      </c>
      <c r="H86" s="10" t="s">
        <v>531</v>
      </c>
      <c r="I86" s="10" t="s">
        <v>532</v>
      </c>
      <c r="J86" s="10" t="s">
        <v>232</v>
      </c>
      <c r="K86" s="10" t="s">
        <v>533</v>
      </c>
      <c r="L86" s="10" t="s">
        <v>18</v>
      </c>
      <c r="M86" s="26">
        <v>8.5</v>
      </c>
      <c r="N86" s="10" t="s">
        <v>17</v>
      </c>
      <c r="O86" s="15" t="s">
        <v>512</v>
      </c>
      <c r="P86" s="15" t="s">
        <v>513</v>
      </c>
      <c r="Q86" s="27" t="s">
        <v>514</v>
      </c>
      <c r="R86" s="15" t="s">
        <v>17</v>
      </c>
    </row>
    <row r="87" ht="101" spans="1:18">
      <c r="A87" s="10">
        <v>85</v>
      </c>
      <c r="B87" s="25">
        <v>46373</v>
      </c>
      <c r="C87" s="10">
        <v>13</v>
      </c>
      <c r="D87" s="10" t="s">
        <v>114</v>
      </c>
      <c r="E87" s="10" t="s">
        <v>534</v>
      </c>
      <c r="F87" s="10" t="s">
        <v>88</v>
      </c>
      <c r="G87" s="10" t="s">
        <v>116</v>
      </c>
      <c r="H87" s="10" t="s">
        <v>535</v>
      </c>
      <c r="I87" s="10" t="s">
        <v>536</v>
      </c>
      <c r="J87" s="10" t="s">
        <v>153</v>
      </c>
      <c r="K87" s="10" t="s">
        <v>537</v>
      </c>
      <c r="L87" s="10" t="s">
        <v>18</v>
      </c>
      <c r="M87" s="26">
        <v>8.5</v>
      </c>
      <c r="N87" s="10" t="s">
        <v>17</v>
      </c>
      <c r="O87" s="15" t="s">
        <v>538</v>
      </c>
      <c r="P87" s="15" t="s">
        <v>289</v>
      </c>
      <c r="Q87" s="27" t="s">
        <v>290</v>
      </c>
      <c r="R87" s="15" t="s">
        <v>17</v>
      </c>
    </row>
    <row r="88" ht="51" spans="1:18">
      <c r="A88" s="10">
        <v>86</v>
      </c>
      <c r="B88" s="25">
        <v>46374</v>
      </c>
      <c r="C88" s="10">
        <v>13</v>
      </c>
      <c r="D88" s="10" t="s">
        <v>124</v>
      </c>
      <c r="E88" s="10" t="s">
        <v>534</v>
      </c>
      <c r="F88" s="10" t="s">
        <v>88</v>
      </c>
      <c r="G88" s="10" t="s">
        <v>116</v>
      </c>
      <c r="H88" s="10" t="s">
        <v>539</v>
      </c>
      <c r="I88" s="10" t="s">
        <v>540</v>
      </c>
      <c r="J88" s="10" t="s">
        <v>232</v>
      </c>
      <c r="K88" s="10" t="s">
        <v>541</v>
      </c>
      <c r="L88" s="10" t="s">
        <v>18</v>
      </c>
      <c r="M88" s="26">
        <v>8.5</v>
      </c>
      <c r="N88" s="10" t="s">
        <v>17</v>
      </c>
      <c r="O88" s="15" t="s">
        <v>542</v>
      </c>
      <c r="P88" s="15" t="s">
        <v>384</v>
      </c>
      <c r="Q88" s="27" t="s">
        <v>385</v>
      </c>
      <c r="R88" s="15" t="s">
        <v>17</v>
      </c>
    </row>
    <row r="89" ht="68" spans="1:18">
      <c r="A89" s="10">
        <v>87</v>
      </c>
      <c r="B89" s="25">
        <v>46375</v>
      </c>
      <c r="C89" s="10">
        <v>13</v>
      </c>
      <c r="D89" s="10" t="s">
        <v>132</v>
      </c>
      <c r="E89" s="10" t="s">
        <v>534</v>
      </c>
      <c r="F89" s="10" t="s">
        <v>88</v>
      </c>
      <c r="G89" s="10" t="s">
        <v>355</v>
      </c>
      <c r="H89" s="10" t="s">
        <v>543</v>
      </c>
      <c r="I89" s="10" t="s">
        <v>544</v>
      </c>
      <c r="J89" s="10" t="s">
        <v>352</v>
      </c>
      <c r="K89" s="10" t="s">
        <v>545</v>
      </c>
      <c r="L89" s="10" t="s">
        <v>18</v>
      </c>
      <c r="M89" s="26">
        <v>8.5</v>
      </c>
      <c r="N89" s="10" t="s">
        <v>17</v>
      </c>
      <c r="O89" s="15" t="s">
        <v>461</v>
      </c>
      <c r="P89" s="15" t="s">
        <v>343</v>
      </c>
      <c r="Q89" s="27" t="s">
        <v>344</v>
      </c>
      <c r="R89" s="15" t="s">
        <v>17</v>
      </c>
    </row>
    <row r="90" ht="101" spans="1:18">
      <c r="A90" s="10">
        <v>88</v>
      </c>
      <c r="B90" s="25">
        <v>46376</v>
      </c>
      <c r="C90" s="10">
        <v>13</v>
      </c>
      <c r="D90" s="10" t="s">
        <v>138</v>
      </c>
      <c r="E90" s="10" t="s">
        <v>534</v>
      </c>
      <c r="F90" s="10" t="s">
        <v>88</v>
      </c>
      <c r="G90" s="10" t="s">
        <v>116</v>
      </c>
      <c r="H90" s="10" t="s">
        <v>546</v>
      </c>
      <c r="I90" s="10" t="s">
        <v>547</v>
      </c>
      <c r="J90" s="10" t="s">
        <v>548</v>
      </c>
      <c r="K90" s="10" t="s">
        <v>549</v>
      </c>
      <c r="L90" s="10" t="s">
        <v>18</v>
      </c>
      <c r="M90" s="26">
        <v>7</v>
      </c>
      <c r="N90" s="10" t="s">
        <v>17</v>
      </c>
      <c r="O90" s="15" t="s">
        <v>538</v>
      </c>
      <c r="P90" s="15" t="s">
        <v>289</v>
      </c>
      <c r="Q90" s="27" t="s">
        <v>290</v>
      </c>
      <c r="R90" s="15" t="s">
        <v>550</v>
      </c>
    </row>
    <row r="91" ht="84" spans="1:18">
      <c r="A91" s="10">
        <v>89</v>
      </c>
      <c r="B91" s="25">
        <v>46377</v>
      </c>
      <c r="C91" s="10">
        <v>13</v>
      </c>
      <c r="D91" s="10" t="s">
        <v>146</v>
      </c>
      <c r="E91" s="10" t="s">
        <v>534</v>
      </c>
      <c r="F91" s="10" t="s">
        <v>88</v>
      </c>
      <c r="G91" s="10" t="s">
        <v>116</v>
      </c>
      <c r="H91" s="10" t="s">
        <v>551</v>
      </c>
      <c r="I91" s="10" t="s">
        <v>552</v>
      </c>
      <c r="J91" s="10" t="s">
        <v>232</v>
      </c>
      <c r="K91" s="10" t="s">
        <v>553</v>
      </c>
      <c r="L91" s="10" t="s">
        <v>18</v>
      </c>
      <c r="M91" s="26">
        <v>8.5</v>
      </c>
      <c r="N91" s="10" t="s">
        <v>17</v>
      </c>
      <c r="O91" s="15" t="s">
        <v>306</v>
      </c>
      <c r="P91" s="15" t="s">
        <v>307</v>
      </c>
      <c r="Q91" s="27" t="s">
        <v>308</v>
      </c>
      <c r="R91" s="15" t="s">
        <v>554</v>
      </c>
    </row>
    <row r="92" ht="68" spans="1:18">
      <c r="A92" s="10">
        <v>90</v>
      </c>
      <c r="B92" s="25">
        <v>46378</v>
      </c>
      <c r="C92" s="10">
        <v>13</v>
      </c>
      <c r="D92" s="10" t="s">
        <v>150</v>
      </c>
      <c r="E92" s="10" t="s">
        <v>534</v>
      </c>
      <c r="F92" s="10" t="s">
        <v>88</v>
      </c>
      <c r="G92" s="10" t="s">
        <v>355</v>
      </c>
      <c r="H92" s="10" t="s">
        <v>555</v>
      </c>
      <c r="I92" s="10" t="s">
        <v>556</v>
      </c>
      <c r="J92" s="10" t="s">
        <v>252</v>
      </c>
      <c r="K92" s="10" t="s">
        <v>557</v>
      </c>
      <c r="L92" s="10" t="s">
        <v>18</v>
      </c>
      <c r="M92" s="26">
        <v>8.5</v>
      </c>
      <c r="N92" s="10" t="s">
        <v>17</v>
      </c>
      <c r="O92" s="15" t="s">
        <v>558</v>
      </c>
      <c r="P92" s="15" t="s">
        <v>343</v>
      </c>
      <c r="Q92" s="27" t="s">
        <v>344</v>
      </c>
      <c r="R92" s="15" t="s">
        <v>17</v>
      </c>
    </row>
    <row r="93" ht="84" spans="1:18">
      <c r="A93" s="10">
        <v>91</v>
      </c>
      <c r="B93" s="25">
        <v>46379</v>
      </c>
      <c r="C93" s="10">
        <v>13</v>
      </c>
      <c r="D93" s="10" t="s">
        <v>158</v>
      </c>
      <c r="E93" s="10" t="s">
        <v>534</v>
      </c>
      <c r="F93" s="10" t="s">
        <v>88</v>
      </c>
      <c r="G93" s="10" t="s">
        <v>116</v>
      </c>
      <c r="H93" s="10" t="s">
        <v>559</v>
      </c>
      <c r="I93" s="10" t="s">
        <v>560</v>
      </c>
      <c r="J93" s="10" t="s">
        <v>274</v>
      </c>
      <c r="K93" s="10" t="s">
        <v>561</v>
      </c>
      <c r="L93" s="10" t="s">
        <v>18</v>
      </c>
      <c r="M93" s="26">
        <v>8.5</v>
      </c>
      <c r="N93" s="10" t="s">
        <v>17</v>
      </c>
      <c r="O93" s="15" t="s">
        <v>562</v>
      </c>
      <c r="P93" s="15" t="s">
        <v>364</v>
      </c>
      <c r="Q93" s="27" t="s">
        <v>365</v>
      </c>
      <c r="R93" s="15" t="s">
        <v>563</v>
      </c>
    </row>
    <row r="94" ht="51" spans="1:18">
      <c r="A94" s="10">
        <v>92</v>
      </c>
      <c r="B94" s="25">
        <v>46380</v>
      </c>
      <c r="C94" s="10">
        <v>14</v>
      </c>
      <c r="D94" s="10" t="s">
        <v>114</v>
      </c>
      <c r="E94" s="10" t="s">
        <v>564</v>
      </c>
      <c r="F94" s="10" t="s">
        <v>92</v>
      </c>
      <c r="G94" s="10" t="s">
        <v>116</v>
      </c>
      <c r="H94" s="10" t="s">
        <v>565</v>
      </c>
      <c r="I94" s="10" t="s">
        <v>566</v>
      </c>
      <c r="J94" s="10" t="s">
        <v>153</v>
      </c>
      <c r="K94" s="10" t="s">
        <v>567</v>
      </c>
      <c r="L94" s="10" t="s">
        <v>18</v>
      </c>
      <c r="M94" s="26">
        <v>8.5</v>
      </c>
      <c r="N94" s="10" t="s">
        <v>17</v>
      </c>
      <c r="O94" s="15" t="s">
        <v>568</v>
      </c>
      <c r="P94" s="15" t="s">
        <v>122</v>
      </c>
      <c r="Q94" s="27" t="s">
        <v>123</v>
      </c>
      <c r="R94" s="15" t="s">
        <v>17</v>
      </c>
    </row>
    <row r="95" ht="51" spans="1:18">
      <c r="A95" s="10">
        <v>93</v>
      </c>
      <c r="B95" s="25">
        <v>46381</v>
      </c>
      <c r="C95" s="10">
        <v>14</v>
      </c>
      <c r="D95" s="10" t="s">
        <v>124</v>
      </c>
      <c r="E95" s="10" t="s">
        <v>564</v>
      </c>
      <c r="F95" s="10" t="s">
        <v>92</v>
      </c>
      <c r="G95" s="10" t="s">
        <v>355</v>
      </c>
      <c r="H95" s="10" t="s">
        <v>569</v>
      </c>
      <c r="I95" s="10" t="s">
        <v>570</v>
      </c>
      <c r="J95" s="10" t="s">
        <v>571</v>
      </c>
      <c r="K95" s="10" t="s">
        <v>572</v>
      </c>
      <c r="L95" s="10" t="s">
        <v>18</v>
      </c>
      <c r="M95" s="26">
        <v>8.5</v>
      </c>
      <c r="N95" s="10" t="s">
        <v>17</v>
      </c>
      <c r="O95" s="15" t="s">
        <v>573</v>
      </c>
      <c r="P95" s="15" t="s">
        <v>170</v>
      </c>
      <c r="Q95" s="27" t="s">
        <v>171</v>
      </c>
      <c r="R95" s="15" t="s">
        <v>574</v>
      </c>
    </row>
    <row r="96" ht="68" spans="1:18">
      <c r="A96" s="10">
        <v>94</v>
      </c>
      <c r="B96" s="25">
        <v>46382</v>
      </c>
      <c r="C96" s="10">
        <v>14</v>
      </c>
      <c r="D96" s="10" t="s">
        <v>132</v>
      </c>
      <c r="E96" s="10" t="s">
        <v>564</v>
      </c>
      <c r="F96" s="10" t="s">
        <v>92</v>
      </c>
      <c r="G96" s="10" t="s">
        <v>116</v>
      </c>
      <c r="H96" s="10" t="s">
        <v>575</v>
      </c>
      <c r="I96" s="10" t="s">
        <v>576</v>
      </c>
      <c r="J96" s="10" t="s">
        <v>274</v>
      </c>
      <c r="K96" s="10" t="s">
        <v>577</v>
      </c>
      <c r="L96" s="10" t="s">
        <v>18</v>
      </c>
      <c r="M96" s="26">
        <v>8.5</v>
      </c>
      <c r="N96" s="10" t="s">
        <v>17</v>
      </c>
      <c r="O96" s="15" t="s">
        <v>578</v>
      </c>
      <c r="P96" s="15" t="s">
        <v>218</v>
      </c>
      <c r="Q96" s="27" t="s">
        <v>219</v>
      </c>
      <c r="R96" s="15" t="s">
        <v>579</v>
      </c>
    </row>
    <row r="97" ht="84" spans="1:18">
      <c r="A97" s="10">
        <v>95</v>
      </c>
      <c r="B97" s="25">
        <v>46383</v>
      </c>
      <c r="C97" s="10">
        <v>14</v>
      </c>
      <c r="D97" s="10" t="s">
        <v>138</v>
      </c>
      <c r="E97" s="10" t="s">
        <v>564</v>
      </c>
      <c r="F97" s="10" t="s">
        <v>92</v>
      </c>
      <c r="G97" s="10" t="s">
        <v>116</v>
      </c>
      <c r="H97" s="10" t="s">
        <v>580</v>
      </c>
      <c r="I97" s="10" t="s">
        <v>581</v>
      </c>
      <c r="J97" s="10" t="s">
        <v>582</v>
      </c>
      <c r="K97" s="10" t="s">
        <v>583</v>
      </c>
      <c r="L97" s="10" t="s">
        <v>18</v>
      </c>
      <c r="M97" s="26">
        <v>7</v>
      </c>
      <c r="N97" s="10" t="s">
        <v>17</v>
      </c>
      <c r="O97" s="15" t="s">
        <v>562</v>
      </c>
      <c r="P97" s="15" t="s">
        <v>364</v>
      </c>
      <c r="Q97" s="27" t="s">
        <v>365</v>
      </c>
      <c r="R97" s="15" t="s">
        <v>584</v>
      </c>
    </row>
    <row r="98" ht="84" spans="1:18">
      <c r="A98" s="10">
        <v>96</v>
      </c>
      <c r="B98" s="25">
        <v>46384</v>
      </c>
      <c r="C98" s="10">
        <v>14</v>
      </c>
      <c r="D98" s="10" t="s">
        <v>146</v>
      </c>
      <c r="E98" s="10" t="s">
        <v>564</v>
      </c>
      <c r="F98" s="10" t="s">
        <v>92</v>
      </c>
      <c r="G98" s="10" t="s">
        <v>355</v>
      </c>
      <c r="H98" s="10" t="s">
        <v>585</v>
      </c>
      <c r="I98" s="10" t="s">
        <v>586</v>
      </c>
      <c r="J98" s="10" t="s">
        <v>153</v>
      </c>
      <c r="K98" s="10" t="s">
        <v>587</v>
      </c>
      <c r="L98" s="10" t="s">
        <v>18</v>
      </c>
      <c r="M98" s="26">
        <v>8.5</v>
      </c>
      <c r="N98" s="10" t="s">
        <v>17</v>
      </c>
      <c r="O98" s="15" t="s">
        <v>588</v>
      </c>
      <c r="P98" s="15" t="s">
        <v>163</v>
      </c>
      <c r="Q98" s="27" t="s">
        <v>164</v>
      </c>
      <c r="R98" s="15" t="s">
        <v>17</v>
      </c>
    </row>
    <row r="99" ht="101" spans="1:18">
      <c r="A99" s="10">
        <v>97</v>
      </c>
      <c r="B99" s="25">
        <v>46385</v>
      </c>
      <c r="C99" s="10">
        <v>14</v>
      </c>
      <c r="D99" s="10" t="s">
        <v>150</v>
      </c>
      <c r="E99" s="10" t="s">
        <v>564</v>
      </c>
      <c r="F99" s="10" t="s">
        <v>92</v>
      </c>
      <c r="G99" s="10" t="s">
        <v>116</v>
      </c>
      <c r="H99" s="10" t="s">
        <v>589</v>
      </c>
      <c r="I99" s="10" t="s">
        <v>590</v>
      </c>
      <c r="J99" s="10" t="s">
        <v>153</v>
      </c>
      <c r="K99" s="10" t="s">
        <v>591</v>
      </c>
      <c r="L99" s="10" t="s">
        <v>18</v>
      </c>
      <c r="M99" s="26">
        <v>8.5</v>
      </c>
      <c r="N99" s="10" t="s">
        <v>17</v>
      </c>
      <c r="O99" s="15" t="s">
        <v>592</v>
      </c>
      <c r="P99" s="15" t="s">
        <v>438</v>
      </c>
      <c r="Q99" s="27" t="s">
        <v>439</v>
      </c>
      <c r="R99" s="15" t="s">
        <v>17</v>
      </c>
    </row>
    <row r="100" ht="84" spans="1:18">
      <c r="A100" s="10">
        <v>98</v>
      </c>
      <c r="B100" s="25">
        <v>46386</v>
      </c>
      <c r="C100" s="10">
        <v>14</v>
      </c>
      <c r="D100" s="10" t="s">
        <v>158</v>
      </c>
      <c r="E100" s="10" t="s">
        <v>564</v>
      </c>
      <c r="F100" s="10" t="s">
        <v>92</v>
      </c>
      <c r="G100" s="10" t="s">
        <v>116</v>
      </c>
      <c r="H100" s="10" t="s">
        <v>593</v>
      </c>
      <c r="I100" s="10" t="s">
        <v>594</v>
      </c>
      <c r="J100" s="10" t="s">
        <v>595</v>
      </c>
      <c r="K100" s="10" t="s">
        <v>596</v>
      </c>
      <c r="L100" s="10" t="s">
        <v>18</v>
      </c>
      <c r="M100" s="26">
        <v>8.5</v>
      </c>
      <c r="N100" s="10" t="s">
        <v>17</v>
      </c>
      <c r="O100" s="15" t="s">
        <v>597</v>
      </c>
      <c r="P100" s="15" t="s">
        <v>307</v>
      </c>
      <c r="Q100" s="27" t="s">
        <v>308</v>
      </c>
      <c r="R100" s="15" t="s">
        <v>17</v>
      </c>
    </row>
  </sheetData>
  <mergeCells count="1">
    <mergeCell ref="A1:Q1"/>
  </mergeCells>
  <conditionalFormatting sqref="G3:G100">
    <cfRule type="expression" dxfId="0" priority="1">
      <formula>LEFT(G3,1)="🔴"</formula>
    </cfRule>
  </conditionalFormatting>
  <conditionalFormatting sqref="L3:L100">
    <cfRule type="expression" dxfId="1" priority="2">
      <formula>L3="完成"</formula>
    </cfRule>
    <cfRule type="expression" dxfId="2" priority="3">
      <formula>L3="进行中"</formula>
    </cfRule>
    <cfRule type="expression" dxfId="3" priority="4">
      <formula>L3="延期"</formula>
    </cfRule>
  </conditionalFormatting>
  <dataValidations count="1">
    <dataValidation type="list" sqref="L3:L100">
      <formula1>"未开始,进行中,完成,延期"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E3" sqref="E3"/>
    </sheetView>
  </sheetViews>
  <sheetFormatPr defaultColWidth="9" defaultRowHeight="16.8" outlineLevelCol="7"/>
  <cols>
    <col min="1" max="1" width="7" customWidth="1"/>
    <col min="2" max="2" width="14" customWidth="1"/>
    <col min="3" max="3" width="32" customWidth="1"/>
    <col min="4" max="4" width="40" customWidth="1"/>
    <col min="5" max="5" width="42" customWidth="1"/>
    <col min="6" max="6" width="46" customWidth="1"/>
    <col min="7" max="7" width="14" customWidth="1"/>
    <col min="8" max="8" width="22" customWidth="1"/>
  </cols>
  <sheetData>
    <row r="1" ht="30" customHeight="1" spans="1:8">
      <c r="A1" s="22" t="s">
        <v>598</v>
      </c>
      <c r="B1" s="22"/>
      <c r="C1" s="22"/>
      <c r="D1" s="22"/>
      <c r="E1" s="22"/>
      <c r="F1" s="22"/>
      <c r="G1" s="22"/>
      <c r="H1" s="22"/>
    </row>
    <row r="2" ht="17" spans="1:8">
      <c r="A2" s="23" t="s">
        <v>2</v>
      </c>
      <c r="B2" s="23" t="s">
        <v>101</v>
      </c>
      <c r="C2" s="23" t="s">
        <v>599</v>
      </c>
      <c r="D2" s="23" t="s">
        <v>600</v>
      </c>
      <c r="E2" s="23" t="s">
        <v>601</v>
      </c>
      <c r="F2" s="23" t="s">
        <v>602</v>
      </c>
      <c r="G2" s="23" t="s">
        <v>603</v>
      </c>
      <c r="H2" s="23" t="s">
        <v>604</v>
      </c>
    </row>
    <row r="3" ht="34" spans="1:8">
      <c r="A3" s="15">
        <v>1</v>
      </c>
      <c r="B3" s="15" t="s">
        <v>115</v>
      </c>
      <c r="C3" s="15" t="s">
        <v>40</v>
      </c>
      <c r="D3" s="15" t="s">
        <v>605</v>
      </c>
      <c r="E3" s="15" t="s">
        <v>41</v>
      </c>
      <c r="F3" s="15" t="s">
        <v>42</v>
      </c>
      <c r="G3" s="15" t="s">
        <v>43</v>
      </c>
      <c r="H3" s="15" t="s">
        <v>606</v>
      </c>
    </row>
    <row r="4" ht="34" spans="1:8">
      <c r="A4" s="15">
        <v>2</v>
      </c>
      <c r="B4" s="15" t="s">
        <v>165</v>
      </c>
      <c r="C4" s="15" t="s">
        <v>44</v>
      </c>
      <c r="D4" s="15" t="s">
        <v>607</v>
      </c>
      <c r="E4" s="15" t="s">
        <v>45</v>
      </c>
      <c r="F4" s="15" t="s">
        <v>46</v>
      </c>
      <c r="G4" s="15" t="s">
        <v>47</v>
      </c>
      <c r="H4" s="15" t="s">
        <v>608</v>
      </c>
    </row>
    <row r="5" ht="34" spans="1:8">
      <c r="A5" s="15">
        <v>3</v>
      </c>
      <c r="B5" s="15" t="s">
        <v>198</v>
      </c>
      <c r="C5" s="15" t="s">
        <v>48</v>
      </c>
      <c r="D5" s="15" t="s">
        <v>609</v>
      </c>
      <c r="E5" s="15" t="s">
        <v>49</v>
      </c>
      <c r="F5" s="15" t="s">
        <v>50</v>
      </c>
      <c r="G5" s="15" t="s">
        <v>51</v>
      </c>
      <c r="H5" s="15" t="s">
        <v>610</v>
      </c>
    </row>
    <row r="6" ht="34" spans="1:8">
      <c r="A6" s="15">
        <v>4</v>
      </c>
      <c r="B6" s="15" t="s">
        <v>239</v>
      </c>
      <c r="C6" s="15" t="s">
        <v>52</v>
      </c>
      <c r="D6" s="15" t="s">
        <v>611</v>
      </c>
      <c r="E6" s="15" t="s">
        <v>53</v>
      </c>
      <c r="F6" s="15" t="s">
        <v>54</v>
      </c>
      <c r="G6" s="15" t="s">
        <v>55</v>
      </c>
      <c r="H6" s="15" t="s">
        <v>612</v>
      </c>
    </row>
    <row r="7" ht="34" spans="1:8">
      <c r="A7" s="15">
        <v>5</v>
      </c>
      <c r="B7" s="15" t="s">
        <v>276</v>
      </c>
      <c r="C7" s="15" t="s">
        <v>56</v>
      </c>
      <c r="D7" s="15" t="s">
        <v>613</v>
      </c>
      <c r="E7" s="15" t="s">
        <v>57</v>
      </c>
      <c r="F7" s="15" t="s">
        <v>58</v>
      </c>
      <c r="G7" s="15" t="s">
        <v>59</v>
      </c>
      <c r="H7" s="15" t="s">
        <v>614</v>
      </c>
    </row>
    <row r="8" ht="34" spans="1:8">
      <c r="A8" s="15">
        <v>6</v>
      </c>
      <c r="B8" s="15" t="s">
        <v>310</v>
      </c>
      <c r="C8" s="15" t="s">
        <v>60</v>
      </c>
      <c r="D8" s="15" t="s">
        <v>615</v>
      </c>
      <c r="E8" s="15" t="s">
        <v>61</v>
      </c>
      <c r="F8" s="15" t="s">
        <v>62</v>
      </c>
      <c r="G8" s="15" t="s">
        <v>63</v>
      </c>
      <c r="H8" s="15" t="s">
        <v>616</v>
      </c>
    </row>
    <row r="9" ht="34" spans="1:8">
      <c r="A9" s="15">
        <v>7</v>
      </c>
      <c r="B9" s="15" t="s">
        <v>345</v>
      </c>
      <c r="C9" s="15" t="s">
        <v>64</v>
      </c>
      <c r="D9" s="15" t="s">
        <v>617</v>
      </c>
      <c r="E9" s="15" t="s">
        <v>65</v>
      </c>
      <c r="F9" s="15" t="s">
        <v>66</v>
      </c>
      <c r="G9" s="15" t="s">
        <v>59</v>
      </c>
      <c r="H9" s="15" t="s">
        <v>618</v>
      </c>
    </row>
    <row r="10" ht="34" spans="1:8">
      <c r="A10" s="15">
        <v>8</v>
      </c>
      <c r="B10" s="15" t="s">
        <v>379</v>
      </c>
      <c r="C10" s="15" t="s">
        <v>67</v>
      </c>
      <c r="D10" s="15" t="s">
        <v>619</v>
      </c>
      <c r="E10" s="15" t="s">
        <v>68</v>
      </c>
      <c r="F10" s="15" t="s">
        <v>69</v>
      </c>
      <c r="G10" s="15" t="s">
        <v>70</v>
      </c>
      <c r="H10" s="15" t="s">
        <v>620</v>
      </c>
    </row>
    <row r="11" ht="34" spans="1:8">
      <c r="A11" s="15">
        <v>9</v>
      </c>
      <c r="B11" s="15" t="s">
        <v>408</v>
      </c>
      <c r="C11" s="15" t="s">
        <v>71</v>
      </c>
      <c r="D11" s="15" t="s">
        <v>621</v>
      </c>
      <c r="E11" s="15" t="s">
        <v>72</v>
      </c>
      <c r="F11" s="15" t="s">
        <v>73</v>
      </c>
      <c r="G11" s="15" t="s">
        <v>74</v>
      </c>
      <c r="H11" s="15" t="s">
        <v>622</v>
      </c>
    </row>
    <row r="12" ht="34" spans="1:8">
      <c r="A12" s="15">
        <v>10</v>
      </c>
      <c r="B12" s="15" t="s">
        <v>443</v>
      </c>
      <c r="C12" s="15" t="s">
        <v>75</v>
      </c>
      <c r="D12" s="15" t="s">
        <v>623</v>
      </c>
      <c r="E12" s="15" t="s">
        <v>76</v>
      </c>
      <c r="F12" s="15" t="s">
        <v>77</v>
      </c>
      <c r="G12" s="15" t="s">
        <v>78</v>
      </c>
      <c r="H12" s="15" t="s">
        <v>624</v>
      </c>
    </row>
    <row r="13" ht="34" spans="1:8">
      <c r="A13" s="15">
        <v>11</v>
      </c>
      <c r="B13" s="15" t="s">
        <v>477</v>
      </c>
      <c r="C13" s="15" t="s">
        <v>80</v>
      </c>
      <c r="D13" s="15" t="s">
        <v>625</v>
      </c>
      <c r="E13" s="15" t="s">
        <v>81</v>
      </c>
      <c r="F13" s="15" t="s">
        <v>82</v>
      </c>
      <c r="G13" s="15" t="s">
        <v>83</v>
      </c>
      <c r="H13" s="15" t="s">
        <v>626</v>
      </c>
    </row>
    <row r="14" ht="34" spans="1:8">
      <c r="A14" s="15">
        <v>12</v>
      </c>
      <c r="B14" s="15" t="s">
        <v>502</v>
      </c>
      <c r="C14" s="15" t="s">
        <v>84</v>
      </c>
      <c r="D14" s="15" t="s">
        <v>627</v>
      </c>
      <c r="E14" s="15" t="s">
        <v>85</v>
      </c>
      <c r="F14" s="15" t="s">
        <v>86</v>
      </c>
      <c r="G14" s="15" t="s">
        <v>87</v>
      </c>
      <c r="H14" s="15" t="s">
        <v>628</v>
      </c>
    </row>
    <row r="15" ht="34" spans="1:8">
      <c r="A15" s="15">
        <v>13</v>
      </c>
      <c r="B15" s="15" t="s">
        <v>534</v>
      </c>
      <c r="C15" s="15" t="s">
        <v>88</v>
      </c>
      <c r="D15" s="15" t="s">
        <v>629</v>
      </c>
      <c r="E15" s="15" t="s">
        <v>89</v>
      </c>
      <c r="F15" s="15" t="s">
        <v>90</v>
      </c>
      <c r="G15" s="15" t="s">
        <v>91</v>
      </c>
      <c r="H15" s="15" t="s">
        <v>630</v>
      </c>
    </row>
    <row r="16" ht="34" spans="1:8">
      <c r="A16" s="15">
        <v>14</v>
      </c>
      <c r="B16" s="15" t="s">
        <v>564</v>
      </c>
      <c r="C16" s="15" t="s">
        <v>92</v>
      </c>
      <c r="D16" s="15" t="s">
        <v>631</v>
      </c>
      <c r="E16" s="15" t="s">
        <v>93</v>
      </c>
      <c r="F16" s="15" t="s">
        <v>94</v>
      </c>
      <c r="G16" s="15" t="s">
        <v>95</v>
      </c>
      <c r="H16" s="15" t="s">
        <v>632</v>
      </c>
    </row>
  </sheetData>
  <mergeCells count="1">
    <mergeCell ref="A1:H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opLeftCell="A2" workbookViewId="0">
      <selection activeCell="C3" sqref="C3"/>
    </sheetView>
  </sheetViews>
  <sheetFormatPr defaultColWidth="9" defaultRowHeight="16.8" outlineLevelCol="6"/>
  <cols>
    <col min="1" max="1" width="14" customWidth="1"/>
    <col min="2" max="2" width="28" customWidth="1"/>
    <col min="3" max="3" width="12" customWidth="1"/>
    <col min="4" max="4" width="18" customWidth="1"/>
    <col min="5" max="5" width="32" customWidth="1"/>
    <col min="6" max="6" width="30" customWidth="1"/>
    <col min="7" max="7" width="12" customWidth="1"/>
  </cols>
  <sheetData>
    <row r="1" ht="19.2" customHeight="1" spans="1:7">
      <c r="A1" s="22" t="s">
        <v>633</v>
      </c>
      <c r="B1" s="22"/>
      <c r="C1" s="22"/>
      <c r="D1" s="22"/>
      <c r="E1" s="22"/>
      <c r="F1" s="22"/>
      <c r="G1" s="22"/>
    </row>
    <row r="2" ht="15" customHeight="1" spans="1:7">
      <c r="A2" s="23" t="s">
        <v>634</v>
      </c>
      <c r="B2" s="23" t="s">
        <v>635</v>
      </c>
      <c r="C2" s="23" t="s">
        <v>103</v>
      </c>
      <c r="D2" s="23" t="s">
        <v>636</v>
      </c>
      <c r="E2" s="23" t="s">
        <v>637</v>
      </c>
      <c r="F2" s="23" t="s">
        <v>638</v>
      </c>
      <c r="G2" s="23" t="s">
        <v>639</v>
      </c>
    </row>
    <row r="3" ht="39.6" customHeight="1" spans="1:7">
      <c r="A3" s="15" t="s">
        <v>640</v>
      </c>
      <c r="B3" s="15" t="s">
        <v>641</v>
      </c>
      <c r="C3" s="15" t="s">
        <v>642</v>
      </c>
      <c r="D3" s="15" t="s">
        <v>643</v>
      </c>
      <c r="E3" s="15" t="s">
        <v>644</v>
      </c>
      <c r="F3" s="15" t="s">
        <v>645</v>
      </c>
      <c r="G3" s="15" t="s">
        <v>15</v>
      </c>
    </row>
    <row r="4" ht="15" customHeight="1" spans="1:7">
      <c r="A4" s="15" t="s">
        <v>640</v>
      </c>
      <c r="B4" s="15" t="s">
        <v>646</v>
      </c>
      <c r="C4" s="15" t="s">
        <v>642</v>
      </c>
      <c r="D4" s="15" t="s">
        <v>647</v>
      </c>
      <c r="E4" s="15" t="s">
        <v>648</v>
      </c>
      <c r="F4" s="15" t="s">
        <v>649</v>
      </c>
      <c r="G4" s="15" t="s">
        <v>650</v>
      </c>
    </row>
    <row r="5" ht="15" customHeight="1" spans="1:7">
      <c r="A5" s="15" t="s">
        <v>640</v>
      </c>
      <c r="B5" s="15" t="s">
        <v>651</v>
      </c>
      <c r="C5" s="15" t="s">
        <v>642</v>
      </c>
      <c r="D5" s="15" t="s">
        <v>652</v>
      </c>
      <c r="E5" s="15" t="s">
        <v>653</v>
      </c>
      <c r="F5" s="15" t="s">
        <v>654</v>
      </c>
      <c r="G5" s="15" t="s">
        <v>650</v>
      </c>
    </row>
    <row r="6" ht="15" customHeight="1" spans="1:7">
      <c r="A6" s="15" t="s">
        <v>655</v>
      </c>
      <c r="B6" s="15" t="s">
        <v>656</v>
      </c>
      <c r="C6" s="15" t="s">
        <v>642</v>
      </c>
      <c r="D6" s="15" t="s">
        <v>657</v>
      </c>
      <c r="E6" s="15" t="s">
        <v>658</v>
      </c>
      <c r="F6" s="15" t="s">
        <v>659</v>
      </c>
      <c r="G6" s="15" t="s">
        <v>660</v>
      </c>
    </row>
    <row r="7" ht="15" customHeight="1" spans="1:7">
      <c r="A7" s="15" t="s">
        <v>661</v>
      </c>
      <c r="B7" s="15" t="s">
        <v>662</v>
      </c>
      <c r="C7" s="15" t="s">
        <v>642</v>
      </c>
      <c r="D7" s="15" t="s">
        <v>657</v>
      </c>
      <c r="E7" s="15" t="s">
        <v>663</v>
      </c>
      <c r="F7" s="15" t="s">
        <v>664</v>
      </c>
      <c r="G7" s="15" t="s">
        <v>660</v>
      </c>
    </row>
    <row r="8" ht="26.4" customHeight="1" spans="1:7">
      <c r="A8" s="15" t="s">
        <v>665</v>
      </c>
      <c r="B8" s="15" t="s">
        <v>666</v>
      </c>
      <c r="C8" s="15" t="s">
        <v>642</v>
      </c>
      <c r="D8" s="15" t="s">
        <v>667</v>
      </c>
      <c r="E8" s="15" t="s">
        <v>668</v>
      </c>
      <c r="F8" s="15" t="s">
        <v>669</v>
      </c>
      <c r="G8" s="15" t="s">
        <v>21</v>
      </c>
    </row>
    <row r="9" ht="15" customHeight="1" spans="1:7">
      <c r="A9" s="15" t="s">
        <v>665</v>
      </c>
      <c r="B9" s="15" t="s">
        <v>670</v>
      </c>
      <c r="C9" s="15" t="s">
        <v>671</v>
      </c>
      <c r="D9" s="15" t="s">
        <v>672</v>
      </c>
      <c r="E9" s="15" t="s">
        <v>673</v>
      </c>
      <c r="F9" s="15" t="s">
        <v>674</v>
      </c>
      <c r="G9" s="15" t="s">
        <v>675</v>
      </c>
    </row>
    <row r="10" ht="15" customHeight="1" spans="1:7">
      <c r="A10" s="15" t="s">
        <v>676</v>
      </c>
      <c r="B10" s="15" t="s">
        <v>677</v>
      </c>
      <c r="C10" s="15" t="s">
        <v>642</v>
      </c>
      <c r="D10" s="15" t="s">
        <v>678</v>
      </c>
      <c r="E10" s="15" t="s">
        <v>679</v>
      </c>
      <c r="F10" s="15" t="s">
        <v>680</v>
      </c>
      <c r="G10" s="15" t="s">
        <v>681</v>
      </c>
    </row>
    <row r="11" ht="15" customHeight="1" spans="1:7">
      <c r="A11" s="15" t="s">
        <v>676</v>
      </c>
      <c r="B11" s="15" t="s">
        <v>682</v>
      </c>
      <c r="C11" s="15" t="s">
        <v>642</v>
      </c>
      <c r="D11" s="15" t="s">
        <v>683</v>
      </c>
      <c r="E11" s="15" t="s">
        <v>684</v>
      </c>
      <c r="F11" s="15" t="s">
        <v>685</v>
      </c>
      <c r="G11" s="15" t="s">
        <v>29</v>
      </c>
    </row>
    <row r="12" ht="15" customHeight="1" spans="1:7">
      <c r="A12" s="15" t="s">
        <v>676</v>
      </c>
      <c r="B12" s="15" t="s">
        <v>686</v>
      </c>
      <c r="C12" s="15" t="s">
        <v>671</v>
      </c>
      <c r="D12" s="15" t="s">
        <v>687</v>
      </c>
      <c r="E12" s="15" t="s">
        <v>688</v>
      </c>
      <c r="F12" s="15" t="s">
        <v>689</v>
      </c>
      <c r="G12" s="15" t="s">
        <v>690</v>
      </c>
    </row>
    <row r="13" ht="26.4" customHeight="1" spans="1:7">
      <c r="A13" s="15" t="s">
        <v>676</v>
      </c>
      <c r="B13" s="15" t="s">
        <v>691</v>
      </c>
      <c r="C13" s="15" t="s">
        <v>671</v>
      </c>
      <c r="D13" s="15" t="s">
        <v>692</v>
      </c>
      <c r="E13" s="15" t="s">
        <v>693</v>
      </c>
      <c r="F13" s="15" t="s">
        <v>694</v>
      </c>
      <c r="G13" s="15" t="s">
        <v>32</v>
      </c>
    </row>
    <row r="14" ht="15" customHeight="1" spans="1:7">
      <c r="A14" s="15" t="s">
        <v>676</v>
      </c>
      <c r="B14" s="15" t="s">
        <v>695</v>
      </c>
      <c r="C14" s="15" t="s">
        <v>671</v>
      </c>
      <c r="D14" s="15" t="s">
        <v>696</v>
      </c>
      <c r="E14" s="15" t="s">
        <v>697</v>
      </c>
      <c r="F14" s="15" t="s">
        <v>698</v>
      </c>
      <c r="G14" s="15" t="s">
        <v>699</v>
      </c>
    </row>
    <row r="15" ht="15" customHeight="1" spans="1:7">
      <c r="A15" s="15" t="s">
        <v>700</v>
      </c>
      <c r="B15" s="15" t="s">
        <v>701</v>
      </c>
      <c r="C15" s="15" t="s">
        <v>642</v>
      </c>
      <c r="D15" s="15" t="s">
        <v>702</v>
      </c>
      <c r="E15" s="15" t="s">
        <v>703</v>
      </c>
      <c r="F15" s="15" t="s">
        <v>704</v>
      </c>
      <c r="G15" s="15" t="s">
        <v>705</v>
      </c>
    </row>
    <row r="16" ht="15" customHeight="1" spans="1:7">
      <c r="A16" s="15" t="s">
        <v>700</v>
      </c>
      <c r="B16" s="15" t="s">
        <v>706</v>
      </c>
      <c r="C16" s="15" t="s">
        <v>671</v>
      </c>
      <c r="D16" s="15" t="s">
        <v>707</v>
      </c>
      <c r="E16" s="15" t="s">
        <v>708</v>
      </c>
      <c r="F16" s="15" t="s">
        <v>709</v>
      </c>
      <c r="G16" s="15" t="s">
        <v>710</v>
      </c>
    </row>
    <row r="17" ht="15" customHeight="1" spans="1:7">
      <c r="A17" s="15" t="s">
        <v>700</v>
      </c>
      <c r="B17" s="15" t="s">
        <v>379</v>
      </c>
      <c r="C17" s="15" t="s">
        <v>671</v>
      </c>
      <c r="D17" s="15" t="s">
        <v>711</v>
      </c>
      <c r="E17" s="15" t="s">
        <v>712</v>
      </c>
      <c r="F17" s="15" t="s">
        <v>713</v>
      </c>
      <c r="G17" s="15" t="s">
        <v>714</v>
      </c>
    </row>
    <row r="18" ht="15" customHeight="1" spans="1:7">
      <c r="A18" s="15" t="s">
        <v>700</v>
      </c>
      <c r="B18" s="15" t="s">
        <v>715</v>
      </c>
      <c r="C18" s="15" t="s">
        <v>671</v>
      </c>
      <c r="D18" s="15" t="s">
        <v>716</v>
      </c>
      <c r="E18" s="15" t="s">
        <v>717</v>
      </c>
      <c r="F18" s="15" t="s">
        <v>718</v>
      </c>
      <c r="G18" s="15" t="s">
        <v>719</v>
      </c>
    </row>
    <row r="19" ht="15" customHeight="1" spans="1:7">
      <c r="A19" s="15" t="s">
        <v>443</v>
      </c>
      <c r="B19" s="15" t="s">
        <v>720</v>
      </c>
      <c r="C19" s="15" t="s">
        <v>642</v>
      </c>
      <c r="D19" s="15" t="s">
        <v>721</v>
      </c>
      <c r="E19" s="15" t="s">
        <v>722</v>
      </c>
      <c r="F19" s="15" t="s">
        <v>723</v>
      </c>
      <c r="G19" s="15" t="s">
        <v>724</v>
      </c>
    </row>
    <row r="20" ht="15" customHeight="1" spans="1:7">
      <c r="A20" s="15" t="s">
        <v>725</v>
      </c>
      <c r="B20" s="15" t="s">
        <v>726</v>
      </c>
      <c r="C20" s="15" t="s">
        <v>671</v>
      </c>
      <c r="D20" s="15" t="s">
        <v>727</v>
      </c>
      <c r="E20" s="15" t="s">
        <v>728</v>
      </c>
      <c r="F20" s="15" t="s">
        <v>729</v>
      </c>
      <c r="G20" s="15" t="s">
        <v>730</v>
      </c>
    </row>
    <row r="21" ht="15" customHeight="1" spans="1:7">
      <c r="A21" s="15" t="s">
        <v>502</v>
      </c>
      <c r="B21" s="15" t="s">
        <v>731</v>
      </c>
      <c r="C21" s="15" t="s">
        <v>671</v>
      </c>
      <c r="D21" s="15" t="s">
        <v>732</v>
      </c>
      <c r="E21" s="15" t="s">
        <v>733</v>
      </c>
      <c r="F21" s="15" t="s">
        <v>734</v>
      </c>
      <c r="G21" s="15" t="s">
        <v>735</v>
      </c>
    </row>
    <row r="22" ht="15" customHeight="1" spans="1:7">
      <c r="A22" s="15" t="s">
        <v>736</v>
      </c>
      <c r="B22" s="15" t="s">
        <v>737</v>
      </c>
      <c r="C22" s="15" t="s">
        <v>738</v>
      </c>
      <c r="D22" s="15" t="s">
        <v>739</v>
      </c>
      <c r="E22" s="15" t="s">
        <v>740</v>
      </c>
      <c r="F22" s="15" t="s">
        <v>741</v>
      </c>
      <c r="G22" s="15" t="s">
        <v>742</v>
      </c>
    </row>
    <row r="23" ht="26.4" customHeight="1" spans="1:7">
      <c r="A23" s="15" t="s">
        <v>743</v>
      </c>
      <c r="B23" s="15" t="s">
        <v>744</v>
      </c>
      <c r="C23" s="15" t="s">
        <v>671</v>
      </c>
      <c r="D23" s="15" t="s">
        <v>745</v>
      </c>
      <c r="E23" s="15" t="s">
        <v>746</v>
      </c>
      <c r="F23" s="15" t="s">
        <v>747</v>
      </c>
      <c r="G23" s="15" t="s">
        <v>748</v>
      </c>
    </row>
    <row r="24" ht="15" customHeight="1" spans="1:7">
      <c r="A24" s="15" t="s">
        <v>749</v>
      </c>
      <c r="B24" s="15" t="s">
        <v>750</v>
      </c>
      <c r="C24" s="15" t="s">
        <v>642</v>
      </c>
      <c r="D24" s="15" t="s">
        <v>751</v>
      </c>
      <c r="E24" s="15" t="s">
        <v>752</v>
      </c>
      <c r="F24" s="15" t="s">
        <v>753</v>
      </c>
      <c r="G24" s="15" t="s">
        <v>754</v>
      </c>
    </row>
    <row r="25" ht="26.4" customHeight="1" spans="1:7">
      <c r="A25" s="4" t="s">
        <v>700</v>
      </c>
      <c r="B25" s="4" t="s">
        <v>755</v>
      </c>
      <c r="C25" s="4" t="s">
        <v>671</v>
      </c>
      <c r="D25" s="4" t="s">
        <v>756</v>
      </c>
      <c r="E25" s="4" t="s">
        <v>757</v>
      </c>
      <c r="F25" s="4" t="s">
        <v>704</v>
      </c>
      <c r="G25" s="4" t="s">
        <v>705</v>
      </c>
    </row>
    <row r="26" ht="26.4" customHeight="1" spans="1:7">
      <c r="A26" s="4" t="s">
        <v>700</v>
      </c>
      <c r="B26" s="4" t="s">
        <v>758</v>
      </c>
      <c r="C26" s="4" t="s">
        <v>671</v>
      </c>
      <c r="D26" s="4" t="s">
        <v>759</v>
      </c>
      <c r="E26" s="4" t="s">
        <v>760</v>
      </c>
      <c r="F26" s="4" t="s">
        <v>761</v>
      </c>
      <c r="G26" s="4" t="s">
        <v>714</v>
      </c>
    </row>
    <row r="27" ht="15" customHeight="1" spans="1:7">
      <c r="A27" s="4" t="s">
        <v>700</v>
      </c>
      <c r="B27" s="4" t="s">
        <v>762</v>
      </c>
      <c r="C27" s="4" t="s">
        <v>642</v>
      </c>
      <c r="D27" s="4" t="s">
        <v>763</v>
      </c>
      <c r="E27" s="4" t="s">
        <v>764</v>
      </c>
      <c r="F27" s="4" t="s">
        <v>765</v>
      </c>
      <c r="G27" s="4" t="s">
        <v>766</v>
      </c>
    </row>
    <row r="28" ht="15" customHeight="1" spans="1:7">
      <c r="A28" s="4" t="s">
        <v>676</v>
      </c>
      <c r="B28" s="4" t="s">
        <v>767</v>
      </c>
      <c r="C28" s="4" t="s">
        <v>738</v>
      </c>
      <c r="D28" s="4" t="s">
        <v>768</v>
      </c>
      <c r="E28" s="4" t="s">
        <v>769</v>
      </c>
      <c r="F28" s="4" t="s">
        <v>770</v>
      </c>
      <c r="G28" s="4" t="s">
        <v>748</v>
      </c>
    </row>
    <row r="29" ht="26.4" customHeight="1" spans="1:7">
      <c r="A29" s="4" t="s">
        <v>502</v>
      </c>
      <c r="B29" s="4" t="s">
        <v>771</v>
      </c>
      <c r="C29" s="4" t="s">
        <v>671</v>
      </c>
      <c r="D29" s="4" t="s">
        <v>772</v>
      </c>
      <c r="E29" s="4" t="s">
        <v>773</v>
      </c>
      <c r="F29" s="4" t="s">
        <v>774</v>
      </c>
      <c r="G29" s="4" t="s">
        <v>735</v>
      </c>
    </row>
    <row r="30" ht="26.4" customHeight="1" spans="1:7">
      <c r="A30" s="4" t="s">
        <v>775</v>
      </c>
      <c r="B30" s="4" t="s">
        <v>776</v>
      </c>
      <c r="C30" s="4" t="s">
        <v>642</v>
      </c>
      <c r="D30" s="4" t="s">
        <v>777</v>
      </c>
      <c r="E30" s="4" t="s">
        <v>778</v>
      </c>
      <c r="F30" s="4" t="s">
        <v>779</v>
      </c>
      <c r="G30" s="4" t="s">
        <v>660</v>
      </c>
    </row>
  </sheetData>
  <mergeCells count="1">
    <mergeCell ref="A1:G1"/>
  </mergeCells>
  <conditionalFormatting sqref="C3:C24">
    <cfRule type="expression" dxfId="0" priority="1">
      <formula>LEFT(C3,1)="🔴"</formula>
    </cfRule>
    <cfRule type="expression" dxfId="2" priority="2">
      <formula>LEFT(C3,1)="🟠"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A1" sqref="A1:H1"/>
    </sheetView>
  </sheetViews>
  <sheetFormatPr defaultColWidth="9" defaultRowHeight="16.8" outlineLevelCol="7"/>
  <cols>
    <col min="1" max="1" width="22" customWidth="1"/>
    <col min="2" max="2" width="24" customWidth="1"/>
    <col min="3" max="3" width="40" customWidth="1"/>
    <col min="4" max="4" width="44" customWidth="1"/>
    <col min="5" max="5" width="38" customWidth="1"/>
    <col min="6" max="6" width="32" customWidth="1"/>
    <col min="7" max="7" width="16" customWidth="1"/>
    <col min="8" max="8" width="34" customWidth="1"/>
  </cols>
  <sheetData>
    <row r="1" ht="30" customHeight="1" spans="1:8">
      <c r="A1" s="22" t="s">
        <v>780</v>
      </c>
      <c r="B1" s="22"/>
      <c r="C1" s="22"/>
      <c r="D1" s="22"/>
      <c r="E1" s="22"/>
      <c r="F1" s="22"/>
      <c r="G1" s="22"/>
      <c r="H1" s="22"/>
    </row>
    <row r="2" ht="17" spans="1:8">
      <c r="A2" s="23" t="s">
        <v>781</v>
      </c>
      <c r="B2" s="23" t="s">
        <v>7</v>
      </c>
      <c r="C2" s="23" t="s">
        <v>782</v>
      </c>
      <c r="D2" s="23" t="s">
        <v>783</v>
      </c>
      <c r="E2" s="23" t="s">
        <v>784</v>
      </c>
      <c r="F2" s="23" t="s">
        <v>785</v>
      </c>
      <c r="G2" s="23" t="s">
        <v>786</v>
      </c>
      <c r="H2" s="23" t="s">
        <v>787</v>
      </c>
    </row>
    <row r="3" ht="17" spans="1:8">
      <c r="A3" s="15" t="s">
        <v>788</v>
      </c>
      <c r="B3" s="15" t="s">
        <v>789</v>
      </c>
      <c r="C3" s="15" t="s">
        <v>790</v>
      </c>
      <c r="D3" s="15" t="s">
        <v>791</v>
      </c>
      <c r="E3" s="15" t="s">
        <v>792</v>
      </c>
      <c r="F3" s="15" t="s">
        <v>793</v>
      </c>
      <c r="G3" s="15" t="s">
        <v>794</v>
      </c>
      <c r="H3" s="15" t="s">
        <v>795</v>
      </c>
    </row>
    <row r="4" ht="17" spans="1:8">
      <c r="A4" s="15" t="s">
        <v>796</v>
      </c>
      <c r="B4" s="15" t="s">
        <v>797</v>
      </c>
      <c r="C4" s="15" t="s">
        <v>798</v>
      </c>
      <c r="D4" s="15" t="s">
        <v>799</v>
      </c>
      <c r="E4" s="15" t="s">
        <v>800</v>
      </c>
      <c r="F4" s="15" t="s">
        <v>801</v>
      </c>
      <c r="G4" s="15" t="s">
        <v>794</v>
      </c>
      <c r="H4" s="15" t="s">
        <v>802</v>
      </c>
    </row>
    <row r="5" ht="34" spans="1:8">
      <c r="A5" s="15" t="s">
        <v>803</v>
      </c>
      <c r="B5" s="15" t="s">
        <v>804</v>
      </c>
      <c r="C5" s="15" t="s">
        <v>805</v>
      </c>
      <c r="D5" s="15" t="s">
        <v>806</v>
      </c>
      <c r="E5" s="15" t="s">
        <v>807</v>
      </c>
      <c r="F5" s="15" t="s">
        <v>808</v>
      </c>
      <c r="G5" s="15" t="s">
        <v>794</v>
      </c>
      <c r="H5" s="15" t="s">
        <v>809</v>
      </c>
    </row>
    <row r="6" ht="17" spans="1:8">
      <c r="A6" s="15" t="s">
        <v>810</v>
      </c>
      <c r="B6" s="15" t="s">
        <v>811</v>
      </c>
      <c r="C6" s="15" t="s">
        <v>812</v>
      </c>
      <c r="D6" s="15" t="s">
        <v>813</v>
      </c>
      <c r="E6" s="15" t="s">
        <v>814</v>
      </c>
      <c r="F6" s="15" t="s">
        <v>815</v>
      </c>
      <c r="G6" s="15" t="s">
        <v>816</v>
      </c>
      <c r="H6" s="15" t="s">
        <v>817</v>
      </c>
    </row>
    <row r="7" ht="17" spans="1:8">
      <c r="A7" s="15" t="s">
        <v>818</v>
      </c>
      <c r="B7" s="15" t="s">
        <v>819</v>
      </c>
      <c r="C7" s="15" t="s">
        <v>820</v>
      </c>
      <c r="D7" s="15" t="s">
        <v>821</v>
      </c>
      <c r="E7" s="15" t="s">
        <v>822</v>
      </c>
      <c r="F7" s="15" t="s">
        <v>823</v>
      </c>
      <c r="G7" s="15" t="s">
        <v>816</v>
      </c>
      <c r="H7" s="15" t="s">
        <v>824</v>
      </c>
    </row>
    <row r="8" ht="17" spans="1:8">
      <c r="A8" s="15" t="s">
        <v>825</v>
      </c>
      <c r="B8" s="15" t="s">
        <v>819</v>
      </c>
      <c r="C8" s="15" t="s">
        <v>826</v>
      </c>
      <c r="D8" s="15" t="s">
        <v>827</v>
      </c>
      <c r="E8" s="15" t="s">
        <v>828</v>
      </c>
      <c r="F8" s="15" t="s">
        <v>829</v>
      </c>
      <c r="G8" s="15" t="s">
        <v>816</v>
      </c>
      <c r="H8" s="15" t="s">
        <v>830</v>
      </c>
    </row>
    <row r="9" ht="17" spans="1:8">
      <c r="A9" s="15" t="s">
        <v>831</v>
      </c>
      <c r="B9" s="15" t="s">
        <v>832</v>
      </c>
      <c r="C9" s="15" t="s">
        <v>833</v>
      </c>
      <c r="D9" s="15" t="s">
        <v>834</v>
      </c>
      <c r="E9" s="15" t="s">
        <v>835</v>
      </c>
      <c r="F9" s="15" t="s">
        <v>836</v>
      </c>
      <c r="G9" s="15" t="s">
        <v>816</v>
      </c>
      <c r="H9" s="15" t="s">
        <v>837</v>
      </c>
    </row>
    <row r="10" ht="17" spans="1:8">
      <c r="A10" s="15" t="s">
        <v>838</v>
      </c>
      <c r="B10" s="15" t="s">
        <v>839</v>
      </c>
      <c r="C10" s="15" t="s">
        <v>840</v>
      </c>
      <c r="D10" s="15" t="s">
        <v>841</v>
      </c>
      <c r="E10" s="15" t="s">
        <v>842</v>
      </c>
      <c r="F10" s="15" t="s">
        <v>843</v>
      </c>
      <c r="G10" s="15" t="s">
        <v>816</v>
      </c>
      <c r="H10" s="15" t="s">
        <v>844</v>
      </c>
    </row>
  </sheetData>
  <mergeCells count="1">
    <mergeCell ref="A1:H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C24" sqref="C24"/>
    </sheetView>
  </sheetViews>
  <sheetFormatPr defaultColWidth="9" defaultRowHeight="16.8" outlineLevelCol="5"/>
  <cols>
    <col min="1" max="1" width="9" customWidth="1"/>
    <col min="2" max="2" width="48" customWidth="1"/>
    <col min="3" max="3" width="34" customWidth="1"/>
    <col min="4" max="4" width="30" customWidth="1"/>
    <col min="5" max="5" width="42" customWidth="1"/>
    <col min="6" max="6" width="50" customWidth="1"/>
  </cols>
  <sheetData>
    <row r="1" ht="30" customHeight="1" spans="1:6">
      <c r="A1" s="22" t="s">
        <v>845</v>
      </c>
      <c r="B1" s="22"/>
      <c r="C1" s="22"/>
      <c r="D1" s="22"/>
      <c r="E1" s="22"/>
      <c r="F1" s="22"/>
    </row>
    <row r="2" ht="17" spans="1:6">
      <c r="A2" s="23" t="s">
        <v>846</v>
      </c>
      <c r="B2" s="23" t="s">
        <v>38</v>
      </c>
      <c r="C2" s="23" t="s">
        <v>847</v>
      </c>
      <c r="D2" s="23" t="s">
        <v>848</v>
      </c>
      <c r="E2" s="23" t="s">
        <v>849</v>
      </c>
      <c r="F2" s="23" t="s">
        <v>850</v>
      </c>
    </row>
    <row r="3" ht="17" spans="1:6">
      <c r="A3" s="15" t="s">
        <v>851</v>
      </c>
      <c r="B3" s="15" t="s">
        <v>852</v>
      </c>
      <c r="C3" s="15" t="s">
        <v>853</v>
      </c>
      <c r="D3" s="15" t="s">
        <v>854</v>
      </c>
      <c r="E3" s="15" t="s">
        <v>855</v>
      </c>
      <c r="F3" s="15" t="s">
        <v>17</v>
      </c>
    </row>
    <row r="4" ht="17" spans="1:6">
      <c r="A4" s="15" t="s">
        <v>127</v>
      </c>
      <c r="B4" s="15" t="s">
        <v>856</v>
      </c>
      <c r="C4" s="15" t="s">
        <v>857</v>
      </c>
      <c r="D4" s="15" t="s">
        <v>858</v>
      </c>
      <c r="E4" s="15" t="s">
        <v>855</v>
      </c>
      <c r="F4" s="15" t="s">
        <v>17</v>
      </c>
    </row>
    <row r="5" ht="17" spans="1:6">
      <c r="A5" s="15" t="s">
        <v>153</v>
      </c>
      <c r="B5" s="15" t="s">
        <v>859</v>
      </c>
      <c r="C5" s="15" t="s">
        <v>860</v>
      </c>
      <c r="D5" s="15" t="s">
        <v>861</v>
      </c>
      <c r="E5" s="15" t="s">
        <v>855</v>
      </c>
      <c r="F5" s="15" t="s">
        <v>17</v>
      </c>
    </row>
    <row r="6" ht="17" spans="1:6">
      <c r="A6" s="15" t="s">
        <v>232</v>
      </c>
      <c r="B6" s="15" t="s">
        <v>862</v>
      </c>
      <c r="C6" s="15" t="s">
        <v>863</v>
      </c>
      <c r="D6" s="15" t="s">
        <v>864</v>
      </c>
      <c r="E6" s="15" t="s">
        <v>855</v>
      </c>
      <c r="F6" s="15" t="s">
        <v>17</v>
      </c>
    </row>
    <row r="7" ht="17" spans="1:6">
      <c r="A7" s="15" t="s">
        <v>865</v>
      </c>
      <c r="B7" s="15" t="s">
        <v>866</v>
      </c>
      <c r="C7" s="15" t="s">
        <v>867</v>
      </c>
      <c r="D7" s="15" t="s">
        <v>868</v>
      </c>
      <c r="E7" s="15" t="s">
        <v>855</v>
      </c>
      <c r="F7" s="15" t="s">
        <v>17</v>
      </c>
    </row>
    <row r="8" ht="17" spans="1:6">
      <c r="A8" s="15" t="s">
        <v>352</v>
      </c>
      <c r="B8" s="15" t="s">
        <v>869</v>
      </c>
      <c r="C8" s="15" t="s">
        <v>870</v>
      </c>
      <c r="D8" s="15" t="s">
        <v>871</v>
      </c>
      <c r="E8" s="15" t="s">
        <v>855</v>
      </c>
      <c r="F8" s="15" t="s">
        <v>17</v>
      </c>
    </row>
    <row r="9" ht="68" spans="1:6">
      <c r="A9" s="15" t="s">
        <v>872</v>
      </c>
      <c r="B9" s="15" t="s">
        <v>873</v>
      </c>
      <c r="C9" s="15" t="s">
        <v>874</v>
      </c>
      <c r="D9" s="15" t="s">
        <v>875</v>
      </c>
      <c r="E9" s="15" t="s">
        <v>855</v>
      </c>
      <c r="F9" s="15" t="s">
        <v>876</v>
      </c>
    </row>
    <row r="10" ht="34" spans="1:6">
      <c r="A10" s="15" t="s">
        <v>877</v>
      </c>
      <c r="B10" s="15" t="s">
        <v>878</v>
      </c>
      <c r="C10" s="15" t="s">
        <v>879</v>
      </c>
      <c r="D10" s="15" t="s">
        <v>880</v>
      </c>
      <c r="E10" s="15" t="s">
        <v>881</v>
      </c>
      <c r="F10" s="15" t="s">
        <v>882</v>
      </c>
    </row>
    <row r="11" ht="34" spans="1:6">
      <c r="A11" s="15" t="s">
        <v>877</v>
      </c>
      <c r="B11" s="15" t="s">
        <v>883</v>
      </c>
      <c r="C11" s="15" t="s">
        <v>884</v>
      </c>
      <c r="D11" s="15" t="s">
        <v>885</v>
      </c>
      <c r="E11" s="15" t="s">
        <v>886</v>
      </c>
      <c r="F11" s="15" t="s">
        <v>887</v>
      </c>
    </row>
    <row r="12" ht="34" spans="1:6">
      <c r="A12" s="15" t="s">
        <v>877</v>
      </c>
      <c r="B12" s="15" t="s">
        <v>888</v>
      </c>
      <c r="C12" s="15" t="s">
        <v>884</v>
      </c>
      <c r="D12" s="15" t="s">
        <v>889</v>
      </c>
      <c r="E12" s="15" t="s">
        <v>890</v>
      </c>
      <c r="F12" s="15" t="s">
        <v>891</v>
      </c>
    </row>
    <row r="13" ht="34" spans="1:6">
      <c r="A13" s="15" t="s">
        <v>892</v>
      </c>
      <c r="B13" s="15" t="s">
        <v>893</v>
      </c>
      <c r="C13" s="15" t="s">
        <v>894</v>
      </c>
      <c r="D13" s="15" t="s">
        <v>895</v>
      </c>
      <c r="E13" s="15" t="s">
        <v>896</v>
      </c>
      <c r="F13" s="15" t="s">
        <v>897</v>
      </c>
    </row>
  </sheetData>
  <mergeCells count="1">
    <mergeCell ref="A1:F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E9" sqref="E9"/>
    </sheetView>
  </sheetViews>
  <sheetFormatPr defaultColWidth="9" defaultRowHeight="16.8" outlineLevelCol="5"/>
  <cols>
    <col min="1" max="1" width="18" customWidth="1"/>
    <col min="2" max="2" width="20" customWidth="1"/>
    <col min="3" max="3" width="30" customWidth="1"/>
    <col min="4" max="4" width="38" customWidth="1"/>
    <col min="5" max="5" width="42" customWidth="1"/>
    <col min="6" max="6" width="12" customWidth="1"/>
  </cols>
  <sheetData>
    <row r="1" ht="30" customHeight="1" spans="1:6">
      <c r="A1" s="22" t="s">
        <v>898</v>
      </c>
      <c r="B1" s="22"/>
      <c r="C1" s="22"/>
      <c r="D1" s="22"/>
      <c r="E1" s="22"/>
      <c r="F1" s="22"/>
    </row>
    <row r="2" ht="17" spans="1:6">
      <c r="A2" s="23" t="s">
        <v>899</v>
      </c>
      <c r="B2" s="23" t="s">
        <v>900</v>
      </c>
      <c r="C2" s="23" t="s">
        <v>7</v>
      </c>
      <c r="D2" s="23" t="s">
        <v>901</v>
      </c>
      <c r="E2" s="23" t="s">
        <v>902</v>
      </c>
      <c r="F2" s="23" t="s">
        <v>903</v>
      </c>
    </row>
    <row r="3" ht="17" spans="1:6">
      <c r="A3" s="15" t="s">
        <v>904</v>
      </c>
      <c r="B3" s="15" t="s">
        <v>905</v>
      </c>
      <c r="C3" s="15" t="s">
        <v>906</v>
      </c>
      <c r="D3" s="15" t="s">
        <v>907</v>
      </c>
      <c r="E3" s="15" t="s">
        <v>908</v>
      </c>
      <c r="F3" s="15" t="s">
        <v>909</v>
      </c>
    </row>
    <row r="4" ht="17" spans="1:6">
      <c r="A4" s="15" t="s">
        <v>910</v>
      </c>
      <c r="B4" s="15" t="s">
        <v>911</v>
      </c>
      <c r="C4" s="15" t="s">
        <v>912</v>
      </c>
      <c r="D4" s="15" t="s">
        <v>913</v>
      </c>
      <c r="E4" s="15" t="s">
        <v>914</v>
      </c>
      <c r="F4" s="15" t="s">
        <v>909</v>
      </c>
    </row>
    <row r="5" ht="17" spans="1:6">
      <c r="A5" s="15" t="s">
        <v>915</v>
      </c>
      <c r="B5" s="15" t="s">
        <v>916</v>
      </c>
      <c r="C5" s="15" t="s">
        <v>917</v>
      </c>
      <c r="D5" s="15" t="s">
        <v>918</v>
      </c>
      <c r="E5" s="15" t="s">
        <v>919</v>
      </c>
      <c r="F5" s="15" t="s">
        <v>909</v>
      </c>
    </row>
    <row r="6" ht="17" spans="1:6">
      <c r="A6" s="15" t="s">
        <v>920</v>
      </c>
      <c r="B6" s="15" t="s">
        <v>921</v>
      </c>
      <c r="C6" s="15" t="s">
        <v>922</v>
      </c>
      <c r="D6" s="15" t="s">
        <v>923</v>
      </c>
      <c r="E6" s="15" t="s">
        <v>924</v>
      </c>
      <c r="F6" s="15" t="s">
        <v>909</v>
      </c>
    </row>
    <row r="7" ht="17" spans="1:6">
      <c r="A7" s="15" t="s">
        <v>925</v>
      </c>
      <c r="B7" s="15" t="s">
        <v>926</v>
      </c>
      <c r="C7" s="15" t="s">
        <v>927</v>
      </c>
      <c r="D7" s="15" t="s">
        <v>928</v>
      </c>
      <c r="E7" s="15" t="s">
        <v>929</v>
      </c>
      <c r="F7" s="15" t="s">
        <v>909</v>
      </c>
    </row>
    <row r="8" ht="17" spans="1:6">
      <c r="A8" s="15" t="s">
        <v>930</v>
      </c>
      <c r="B8" s="15" t="s">
        <v>931</v>
      </c>
      <c r="C8" s="15" t="s">
        <v>932</v>
      </c>
      <c r="D8" s="15" t="s">
        <v>933</v>
      </c>
      <c r="E8" s="15" t="s">
        <v>934</v>
      </c>
      <c r="F8" s="15" t="s">
        <v>909</v>
      </c>
    </row>
    <row r="9" ht="152" spans="1:6">
      <c r="A9" s="15" t="s">
        <v>935</v>
      </c>
      <c r="B9" s="15" t="s">
        <v>936</v>
      </c>
      <c r="C9" s="15" t="s">
        <v>937</v>
      </c>
      <c r="D9" s="15" t="s">
        <v>938</v>
      </c>
      <c r="E9" s="15" t="s">
        <v>939</v>
      </c>
      <c r="F9" s="15" t="s">
        <v>909</v>
      </c>
    </row>
  </sheetData>
  <mergeCells count="1">
    <mergeCell ref="A1:F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" sqref="A1:H1"/>
    </sheetView>
  </sheetViews>
  <sheetFormatPr defaultColWidth="9" defaultRowHeight="16.8" outlineLevelCol="7"/>
  <cols>
    <col min="1" max="1" width="7" customWidth="1"/>
    <col min="2" max="2" width="20" customWidth="1"/>
    <col min="3" max="4" width="30" customWidth="1"/>
    <col min="5" max="5" width="32" customWidth="1"/>
    <col min="6" max="6" width="30" customWidth="1"/>
    <col min="7" max="7" width="24" customWidth="1"/>
    <col min="8" max="8" width="10" customWidth="1"/>
  </cols>
  <sheetData>
    <row r="1" ht="30" customHeight="1" spans="1:8">
      <c r="A1" s="22" t="s">
        <v>940</v>
      </c>
      <c r="B1" s="22"/>
      <c r="C1" s="22"/>
      <c r="D1" s="22"/>
      <c r="E1" s="22"/>
      <c r="F1" s="22"/>
      <c r="G1" s="22"/>
      <c r="H1" s="22"/>
    </row>
    <row r="2" ht="17" spans="1:8">
      <c r="A2" s="23" t="s">
        <v>2</v>
      </c>
      <c r="B2" s="23" t="s">
        <v>941</v>
      </c>
      <c r="C2" s="23" t="s">
        <v>942</v>
      </c>
      <c r="D2" s="23" t="s">
        <v>943</v>
      </c>
      <c r="E2" s="23" t="s">
        <v>944</v>
      </c>
      <c r="F2" s="23" t="s">
        <v>945</v>
      </c>
      <c r="G2" s="23" t="s">
        <v>946</v>
      </c>
      <c r="H2" s="23" t="s">
        <v>28</v>
      </c>
    </row>
    <row r="3" ht="17" spans="1:8">
      <c r="A3">
        <v>1</v>
      </c>
      <c r="B3" t="s">
        <v>947</v>
      </c>
      <c r="C3" t="s">
        <v>948</v>
      </c>
      <c r="D3" t="s">
        <v>949</v>
      </c>
      <c r="E3" t="s">
        <v>950</v>
      </c>
      <c r="F3" t="s">
        <v>951</v>
      </c>
      <c r="G3" t="s">
        <v>952</v>
      </c>
      <c r="H3" s="15" t="s">
        <v>18</v>
      </c>
    </row>
    <row r="4" ht="17" spans="1:8">
      <c r="A4">
        <v>2</v>
      </c>
      <c r="B4" t="s">
        <v>953</v>
      </c>
      <c r="C4" t="s">
        <v>954</v>
      </c>
      <c r="D4" t="s">
        <v>955</v>
      </c>
      <c r="E4" t="s">
        <v>956</v>
      </c>
      <c r="F4" t="s">
        <v>957</v>
      </c>
      <c r="G4" t="s">
        <v>958</v>
      </c>
      <c r="H4" s="15" t="s">
        <v>18</v>
      </c>
    </row>
    <row r="5" ht="17" spans="1:8">
      <c r="A5">
        <v>3</v>
      </c>
      <c r="B5" t="s">
        <v>959</v>
      </c>
      <c r="C5" t="s">
        <v>960</v>
      </c>
      <c r="D5" t="s">
        <v>961</v>
      </c>
      <c r="E5" t="s">
        <v>962</v>
      </c>
      <c r="F5" t="s">
        <v>963</v>
      </c>
      <c r="G5" t="s">
        <v>964</v>
      </c>
      <c r="H5" s="15" t="s">
        <v>18</v>
      </c>
    </row>
    <row r="6" ht="17" spans="1:8">
      <c r="A6">
        <v>4</v>
      </c>
      <c r="B6" t="s">
        <v>965</v>
      </c>
      <c r="C6" t="s">
        <v>966</v>
      </c>
      <c r="D6" t="s">
        <v>967</v>
      </c>
      <c r="E6" t="s">
        <v>968</v>
      </c>
      <c r="F6" t="s">
        <v>969</v>
      </c>
      <c r="G6" t="s">
        <v>970</v>
      </c>
      <c r="H6" s="15" t="s">
        <v>18</v>
      </c>
    </row>
    <row r="7" ht="17" spans="1:8">
      <c r="A7">
        <v>5</v>
      </c>
      <c r="B7" t="s">
        <v>971</v>
      </c>
      <c r="C7" t="s">
        <v>972</v>
      </c>
      <c r="D7" t="s">
        <v>973</v>
      </c>
      <c r="E7" t="s">
        <v>974</v>
      </c>
      <c r="F7" t="s">
        <v>975</v>
      </c>
      <c r="G7" t="s">
        <v>976</v>
      </c>
      <c r="H7" s="15" t="s">
        <v>18</v>
      </c>
    </row>
    <row r="8" ht="17" spans="1:8">
      <c r="A8">
        <v>6</v>
      </c>
      <c r="B8" t="s">
        <v>977</v>
      </c>
      <c r="C8" t="s">
        <v>978</v>
      </c>
      <c r="D8" t="s">
        <v>979</v>
      </c>
      <c r="E8" t="s">
        <v>980</v>
      </c>
      <c r="F8" t="s">
        <v>981</v>
      </c>
      <c r="G8" t="s">
        <v>982</v>
      </c>
      <c r="H8" s="15" t="s">
        <v>18</v>
      </c>
    </row>
    <row r="9" ht="17" spans="1:8">
      <c r="A9">
        <v>7</v>
      </c>
      <c r="B9" t="s">
        <v>983</v>
      </c>
      <c r="C9" t="s">
        <v>984</v>
      </c>
      <c r="D9" t="s">
        <v>985</v>
      </c>
      <c r="E9" t="s">
        <v>986</v>
      </c>
      <c r="F9" t="s">
        <v>987</v>
      </c>
      <c r="G9" t="s">
        <v>988</v>
      </c>
      <c r="H9" s="15" t="s">
        <v>18</v>
      </c>
    </row>
    <row r="10" ht="17" spans="1:8">
      <c r="A10">
        <v>8</v>
      </c>
      <c r="B10" t="s">
        <v>989</v>
      </c>
      <c r="C10" t="s">
        <v>990</v>
      </c>
      <c r="D10" t="s">
        <v>991</v>
      </c>
      <c r="E10" t="s">
        <v>992</v>
      </c>
      <c r="F10" t="s">
        <v>993</v>
      </c>
      <c r="G10" t="s">
        <v>990</v>
      </c>
      <c r="H10" s="15" t="s">
        <v>18</v>
      </c>
    </row>
    <row r="11" ht="17" spans="1:8">
      <c r="A11">
        <v>9</v>
      </c>
      <c r="B11" t="s">
        <v>994</v>
      </c>
      <c r="C11" t="s">
        <v>995</v>
      </c>
      <c r="D11" t="s">
        <v>996</v>
      </c>
      <c r="E11" t="s">
        <v>997</v>
      </c>
      <c r="F11" t="s">
        <v>998</v>
      </c>
      <c r="G11" t="s">
        <v>999</v>
      </c>
      <c r="H11" s="15" t="s">
        <v>18</v>
      </c>
    </row>
    <row r="12" ht="17" spans="1:8">
      <c r="A12">
        <v>10</v>
      </c>
      <c r="B12" t="s">
        <v>1000</v>
      </c>
      <c r="C12" t="s">
        <v>1001</v>
      </c>
      <c r="D12" t="s">
        <v>640</v>
      </c>
      <c r="E12" t="s">
        <v>1002</v>
      </c>
      <c r="F12" t="s">
        <v>1003</v>
      </c>
      <c r="G12" t="s">
        <v>1004</v>
      </c>
      <c r="H12" s="15" t="s">
        <v>18</v>
      </c>
    </row>
    <row r="13" ht="17" spans="1:8">
      <c r="A13">
        <v>11</v>
      </c>
      <c r="B13" t="s">
        <v>1005</v>
      </c>
      <c r="C13" t="s">
        <v>1006</v>
      </c>
      <c r="D13" t="s">
        <v>1007</v>
      </c>
      <c r="E13" t="s">
        <v>628</v>
      </c>
      <c r="F13" t="s">
        <v>1008</v>
      </c>
      <c r="G13" t="s">
        <v>1009</v>
      </c>
      <c r="H13" s="15" t="s">
        <v>18</v>
      </c>
    </row>
    <row r="14" ht="17" spans="1:8">
      <c r="A14">
        <v>12</v>
      </c>
      <c r="B14" t="s">
        <v>1010</v>
      </c>
      <c r="C14" t="s">
        <v>1011</v>
      </c>
      <c r="D14" t="s">
        <v>1012</v>
      </c>
      <c r="E14" t="s">
        <v>1000</v>
      </c>
      <c r="F14" t="s">
        <v>1013</v>
      </c>
      <c r="G14" t="s">
        <v>1014</v>
      </c>
      <c r="H14" s="15" t="s">
        <v>18</v>
      </c>
    </row>
    <row r="15" ht="17" spans="1:8">
      <c r="A15">
        <v>13</v>
      </c>
      <c r="B15" t="s">
        <v>1015</v>
      </c>
      <c r="C15" t="s">
        <v>1016</v>
      </c>
      <c r="D15" t="s">
        <v>1017</v>
      </c>
      <c r="E15" t="s">
        <v>1018</v>
      </c>
      <c r="F15" t="s">
        <v>1019</v>
      </c>
      <c r="G15" t="s">
        <v>1020</v>
      </c>
      <c r="H15" s="15" t="s">
        <v>18</v>
      </c>
    </row>
    <row r="16" ht="17" spans="1:8">
      <c r="A16">
        <v>14</v>
      </c>
      <c r="B16" t="s">
        <v>1021</v>
      </c>
      <c r="C16" t="s">
        <v>1022</v>
      </c>
      <c r="D16" t="s">
        <v>1023</v>
      </c>
      <c r="E16" t="s">
        <v>1024</v>
      </c>
      <c r="F16" t="s">
        <v>1025</v>
      </c>
      <c r="G16" t="s">
        <v>1026</v>
      </c>
      <c r="H16" s="15" t="s">
        <v>18</v>
      </c>
    </row>
  </sheetData>
  <mergeCells count="1">
    <mergeCell ref="A1:H1"/>
  </mergeCells>
  <conditionalFormatting sqref="H3:H16">
    <cfRule type="expression" dxfId="1" priority="1">
      <formula>H3="完成"</formula>
    </cfRule>
    <cfRule type="expression" dxfId="2" priority="2">
      <formula>H3="进行中"</formula>
    </cfRule>
  </conditionalFormatting>
  <dataValidations count="1">
    <dataValidation type="list" sqref="H3:H16">
      <formula1>"未开始,进行中,完成,延期"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E1"/>
    </sheetView>
  </sheetViews>
  <sheetFormatPr defaultColWidth="9" defaultRowHeight="16.8" outlineLevelRow="7" outlineLevelCol="4"/>
  <cols>
    <col min="1" max="1" width="34" customWidth="1"/>
    <col min="2" max="2" width="20" customWidth="1"/>
    <col min="3" max="3" width="50" customWidth="1"/>
    <col min="4" max="4" width="44" customWidth="1"/>
    <col min="5" max="5" width="65" customWidth="1"/>
  </cols>
  <sheetData>
    <row r="1" ht="30" customHeight="1" spans="1:5">
      <c r="A1" s="22" t="s">
        <v>1027</v>
      </c>
      <c r="B1" s="22"/>
      <c r="C1" s="22"/>
      <c r="D1" s="22"/>
      <c r="E1" s="22"/>
    </row>
    <row r="2" ht="17" spans="1:5">
      <c r="A2" s="23" t="s">
        <v>1028</v>
      </c>
      <c r="B2" s="23" t="s">
        <v>1029</v>
      </c>
      <c r="C2" s="23" t="s">
        <v>1030</v>
      </c>
      <c r="D2" s="23" t="s">
        <v>1031</v>
      </c>
      <c r="E2" s="23" t="s">
        <v>1032</v>
      </c>
    </row>
    <row r="3" ht="34" spans="1:5">
      <c r="A3" s="15" t="s">
        <v>1033</v>
      </c>
      <c r="B3" s="15" t="s">
        <v>1034</v>
      </c>
      <c r="C3" s="15" t="s">
        <v>1035</v>
      </c>
      <c r="D3" s="15" t="s">
        <v>1036</v>
      </c>
      <c r="E3" s="15" t="s">
        <v>1037</v>
      </c>
    </row>
    <row r="4" ht="34" spans="1:5">
      <c r="A4" s="15" t="s">
        <v>1038</v>
      </c>
      <c r="B4" s="15" t="s">
        <v>1039</v>
      </c>
      <c r="C4" s="15" t="s">
        <v>1040</v>
      </c>
      <c r="D4" s="15" t="s">
        <v>1041</v>
      </c>
      <c r="E4" s="15" t="s">
        <v>1042</v>
      </c>
    </row>
    <row r="5" ht="34" spans="1:5">
      <c r="A5" s="15" t="s">
        <v>1043</v>
      </c>
      <c r="B5" s="15" t="s">
        <v>1044</v>
      </c>
      <c r="C5" s="15" t="s">
        <v>1045</v>
      </c>
      <c r="D5" s="15" t="s">
        <v>1046</v>
      </c>
      <c r="E5" s="15" t="s">
        <v>1047</v>
      </c>
    </row>
    <row r="6" ht="34" spans="1:5">
      <c r="A6" s="15" t="s">
        <v>1048</v>
      </c>
      <c r="B6" s="15" t="s">
        <v>1049</v>
      </c>
      <c r="C6" s="15" t="s">
        <v>1050</v>
      </c>
      <c r="D6" s="15" t="s">
        <v>1051</v>
      </c>
      <c r="E6" s="15" t="s">
        <v>1052</v>
      </c>
    </row>
    <row r="7" ht="17" spans="1:5">
      <c r="A7" s="15" t="s">
        <v>1053</v>
      </c>
      <c r="B7" s="15" t="s">
        <v>1054</v>
      </c>
      <c r="C7" s="15" t="s">
        <v>1055</v>
      </c>
      <c r="D7" s="15" t="s">
        <v>1056</v>
      </c>
      <c r="E7" s="15" t="s">
        <v>1057</v>
      </c>
    </row>
    <row r="8" ht="34" spans="1:5">
      <c r="A8" s="15" t="s">
        <v>1058</v>
      </c>
      <c r="B8" s="15" t="s">
        <v>1049</v>
      </c>
      <c r="C8" s="15" t="s">
        <v>1059</v>
      </c>
      <c r="D8" s="15" t="s">
        <v>1060</v>
      </c>
      <c r="E8" s="15" t="s">
        <v>1061</v>
      </c>
    </row>
  </sheetData>
  <mergeCells count="1">
    <mergeCell ref="A1:E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workbookViewId="0">
      <selection activeCell="F6" sqref="F6"/>
    </sheetView>
  </sheetViews>
  <sheetFormatPr defaultColWidth="9" defaultRowHeight="16.8"/>
  <cols>
    <col min="1" max="1" width="10" customWidth="1"/>
    <col min="2" max="2" width="14" customWidth="1"/>
    <col min="3" max="3" width="34" customWidth="1"/>
    <col min="4" max="5" width="12" customWidth="1"/>
    <col min="6" max="6" width="42" customWidth="1"/>
    <col min="7" max="7" width="36" customWidth="1"/>
    <col min="8" max="8" width="55" customWidth="1"/>
    <col min="9" max="9" width="30" customWidth="1"/>
  </cols>
  <sheetData>
    <row r="1" ht="28" customHeight="1" spans="1:9">
      <c r="A1" s="14" t="s">
        <v>1062</v>
      </c>
      <c r="B1" s="14"/>
      <c r="C1" s="14"/>
      <c r="D1" s="14"/>
      <c r="E1" s="14"/>
      <c r="F1" s="14"/>
      <c r="G1" s="14"/>
      <c r="H1" s="14"/>
      <c r="I1" s="14"/>
    </row>
    <row r="2" ht="15" customHeight="1" spans="1:9">
      <c r="A2" s="7" t="s">
        <v>1063</v>
      </c>
      <c r="B2" s="15"/>
      <c r="C2" s="15"/>
      <c r="D2" s="15"/>
      <c r="E2" s="15"/>
      <c r="F2" s="15"/>
      <c r="G2" s="15"/>
      <c r="H2" s="15"/>
      <c r="I2" s="15"/>
    </row>
    <row r="3" ht="15" customHeight="1" spans="1:9">
      <c r="A3" s="16" t="s">
        <v>1064</v>
      </c>
      <c r="B3" s="15"/>
      <c r="C3" s="15"/>
      <c r="D3" s="15"/>
      <c r="E3" s="15"/>
      <c r="F3" s="15"/>
      <c r="G3" s="15"/>
      <c r="H3" s="15"/>
      <c r="I3" s="15"/>
    </row>
    <row r="4" ht="15" customHeight="1" spans="1:9">
      <c r="A4" s="8" t="s">
        <v>1065</v>
      </c>
      <c r="B4" s="8" t="s">
        <v>1066</v>
      </c>
      <c r="C4" s="8" t="s">
        <v>1067</v>
      </c>
      <c r="D4" s="8" t="s">
        <v>1068</v>
      </c>
      <c r="E4" s="8" t="s">
        <v>1069</v>
      </c>
      <c r="F4" s="8" t="s">
        <v>1070</v>
      </c>
      <c r="G4" s="8" t="s">
        <v>1071</v>
      </c>
      <c r="H4" s="8" t="s">
        <v>850</v>
      </c>
      <c r="I4" s="8" t="s">
        <v>1072</v>
      </c>
    </row>
    <row r="5" ht="26.4" customHeight="1" spans="1:9">
      <c r="A5" s="9" t="s">
        <v>1073</v>
      </c>
      <c r="B5" s="10" t="s">
        <v>1074</v>
      </c>
      <c r="C5" s="10" t="s">
        <v>1075</v>
      </c>
      <c r="D5" s="17" t="s">
        <v>1076</v>
      </c>
      <c r="E5" s="17" t="s">
        <v>15</v>
      </c>
      <c r="F5" s="10" t="s">
        <v>1077</v>
      </c>
      <c r="G5" s="10" t="s">
        <v>1078</v>
      </c>
      <c r="H5" s="18" t="s">
        <v>123</v>
      </c>
      <c r="I5" s="10" t="s">
        <v>1078</v>
      </c>
    </row>
    <row r="6" ht="26.4" customHeight="1" spans="1:9">
      <c r="A6" s="9" t="s">
        <v>129</v>
      </c>
      <c r="B6" s="10" t="s">
        <v>1074</v>
      </c>
      <c r="C6" s="10" t="s">
        <v>1079</v>
      </c>
      <c r="D6" s="17" t="s">
        <v>1076</v>
      </c>
      <c r="E6" s="17" t="s">
        <v>1080</v>
      </c>
      <c r="F6" s="10" t="s">
        <v>1081</v>
      </c>
      <c r="G6" s="10" t="s">
        <v>1082</v>
      </c>
      <c r="H6" s="18" t="s">
        <v>131</v>
      </c>
      <c r="I6" s="10" t="s">
        <v>1082</v>
      </c>
    </row>
    <row r="7" ht="15" customHeight="1" spans="1:9">
      <c r="A7" s="9" t="s">
        <v>1083</v>
      </c>
      <c r="B7" s="10" t="s">
        <v>1084</v>
      </c>
      <c r="C7" s="10" t="s">
        <v>1085</v>
      </c>
      <c r="D7" s="17" t="s">
        <v>1076</v>
      </c>
      <c r="E7" s="17" t="s">
        <v>1086</v>
      </c>
      <c r="F7" s="10" t="s">
        <v>1087</v>
      </c>
      <c r="G7" s="10" t="s">
        <v>1088</v>
      </c>
      <c r="H7" s="18" t="s">
        <v>181</v>
      </c>
      <c r="I7" s="10" t="s">
        <v>1088</v>
      </c>
    </row>
    <row r="8" ht="15" customHeight="1" spans="1:9">
      <c r="A8" s="9" t="s">
        <v>1089</v>
      </c>
      <c r="B8" s="10" t="s">
        <v>1084</v>
      </c>
      <c r="C8" s="10" t="s">
        <v>1090</v>
      </c>
      <c r="D8" s="17" t="s">
        <v>1076</v>
      </c>
      <c r="E8" s="17" t="s">
        <v>1091</v>
      </c>
      <c r="F8" s="10" t="s">
        <v>1092</v>
      </c>
      <c r="G8" s="10" t="s">
        <v>1093</v>
      </c>
      <c r="H8" s="18" t="s">
        <v>145</v>
      </c>
      <c r="I8" s="10" t="s">
        <v>1093</v>
      </c>
    </row>
    <row r="9" ht="15" customHeight="1" spans="1:9">
      <c r="A9" s="9" t="s">
        <v>1094</v>
      </c>
      <c r="B9" s="10" t="s">
        <v>1084</v>
      </c>
      <c r="C9" s="10" t="s">
        <v>1095</v>
      </c>
      <c r="D9" s="17" t="s">
        <v>1076</v>
      </c>
      <c r="E9" s="17" t="s">
        <v>1091</v>
      </c>
      <c r="F9" s="10" t="s">
        <v>1096</v>
      </c>
      <c r="G9" s="10" t="s">
        <v>1097</v>
      </c>
      <c r="H9" s="18" t="s">
        <v>1098</v>
      </c>
      <c r="I9" s="10" t="s">
        <v>1097</v>
      </c>
    </row>
    <row r="10" ht="15" customHeight="1" spans="1:9">
      <c r="A10" s="9" t="s">
        <v>155</v>
      </c>
      <c r="B10" s="10" t="s">
        <v>1084</v>
      </c>
      <c r="C10" s="10" t="s">
        <v>1099</v>
      </c>
      <c r="D10" s="17" t="s">
        <v>1076</v>
      </c>
      <c r="E10" s="17" t="s">
        <v>1091</v>
      </c>
      <c r="F10" s="10" t="s">
        <v>1100</v>
      </c>
      <c r="G10" s="10" t="s">
        <v>1101</v>
      </c>
      <c r="H10" s="18" t="s">
        <v>157</v>
      </c>
      <c r="I10" s="10" t="s">
        <v>1101</v>
      </c>
    </row>
    <row r="11" ht="15" customHeight="1" spans="1:9">
      <c r="A11" s="9" t="s">
        <v>1102</v>
      </c>
      <c r="B11" s="10" t="s">
        <v>1103</v>
      </c>
      <c r="C11" s="10" t="s">
        <v>1104</v>
      </c>
      <c r="D11" s="17" t="s">
        <v>884</v>
      </c>
      <c r="E11" s="17" t="s">
        <v>1091</v>
      </c>
      <c r="F11" s="10" t="s">
        <v>1105</v>
      </c>
      <c r="G11" s="10" t="s">
        <v>1106</v>
      </c>
      <c r="H11" s="18" t="s">
        <v>476</v>
      </c>
      <c r="I11" s="10" t="s">
        <v>1106</v>
      </c>
    </row>
    <row r="12" ht="15" customHeight="1" spans="1:9">
      <c r="A12" s="9" t="s">
        <v>1107</v>
      </c>
      <c r="B12" s="10" t="s">
        <v>1108</v>
      </c>
      <c r="C12" s="10" t="s">
        <v>1109</v>
      </c>
      <c r="D12" s="17" t="s">
        <v>884</v>
      </c>
      <c r="E12" s="17" t="s">
        <v>1110</v>
      </c>
      <c r="F12" s="10" t="s">
        <v>1111</v>
      </c>
      <c r="G12" s="10" t="s">
        <v>1112</v>
      </c>
      <c r="H12" s="18" t="s">
        <v>433</v>
      </c>
      <c r="I12" s="10" t="s">
        <v>1112</v>
      </c>
    </row>
    <row r="13" ht="39.6" customHeight="1" spans="1:9">
      <c r="A13" s="9" t="s">
        <v>162</v>
      </c>
      <c r="B13" s="10" t="s">
        <v>38</v>
      </c>
      <c r="C13" s="10" t="s">
        <v>1113</v>
      </c>
      <c r="D13" s="17" t="s">
        <v>1076</v>
      </c>
      <c r="E13" s="17" t="s">
        <v>1114</v>
      </c>
      <c r="F13" s="10" t="s">
        <v>1115</v>
      </c>
      <c r="G13" s="10" t="s">
        <v>1116</v>
      </c>
      <c r="H13" s="18" t="s">
        <v>164</v>
      </c>
      <c r="I13" s="10" t="s">
        <v>1116</v>
      </c>
    </row>
    <row r="14" ht="26.4" customHeight="1" spans="1:9">
      <c r="A14" s="9" t="s">
        <v>169</v>
      </c>
      <c r="B14" s="10" t="s">
        <v>1117</v>
      </c>
      <c r="C14" s="10" t="s">
        <v>1118</v>
      </c>
      <c r="D14" s="17" t="s">
        <v>1076</v>
      </c>
      <c r="E14" s="17" t="s">
        <v>1119</v>
      </c>
      <c r="F14" s="10" t="s">
        <v>1120</v>
      </c>
      <c r="G14" s="10" t="s">
        <v>1121</v>
      </c>
      <c r="H14" s="18" t="s">
        <v>171</v>
      </c>
      <c r="I14" s="10" t="s">
        <v>1121</v>
      </c>
    </row>
    <row r="15" ht="15" customHeight="1" spans="1:9">
      <c r="A15" s="9" t="s">
        <v>229</v>
      </c>
      <c r="B15" s="10" t="s">
        <v>1122</v>
      </c>
      <c r="C15" s="10" t="s">
        <v>1123</v>
      </c>
      <c r="D15" s="17" t="s">
        <v>1076</v>
      </c>
      <c r="E15" s="17" t="s">
        <v>1124</v>
      </c>
      <c r="F15" s="10" t="s">
        <v>1125</v>
      </c>
      <c r="G15" s="10" t="s">
        <v>1126</v>
      </c>
      <c r="H15" s="18" t="s">
        <v>219</v>
      </c>
      <c r="I15" s="10" t="s">
        <v>1126</v>
      </c>
    </row>
    <row r="16" ht="26.4" customHeight="1" spans="1:9">
      <c r="A16" s="9" t="s">
        <v>210</v>
      </c>
      <c r="B16" s="10" t="s">
        <v>1084</v>
      </c>
      <c r="C16" s="10" t="s">
        <v>1127</v>
      </c>
      <c r="D16" s="17" t="s">
        <v>1076</v>
      </c>
      <c r="E16" s="17" t="s">
        <v>26</v>
      </c>
      <c r="F16" s="10" t="s">
        <v>1128</v>
      </c>
      <c r="G16" s="10" t="s">
        <v>1129</v>
      </c>
      <c r="H16" s="18" t="s">
        <v>212</v>
      </c>
      <c r="I16" s="10" t="s">
        <v>1129</v>
      </c>
    </row>
    <row r="17" ht="15" customHeight="1" spans="1:9">
      <c r="A17" s="9" t="s">
        <v>1130</v>
      </c>
      <c r="B17" s="10" t="s">
        <v>1131</v>
      </c>
      <c r="C17" s="10" t="s">
        <v>1132</v>
      </c>
      <c r="D17" s="17" t="s">
        <v>1076</v>
      </c>
      <c r="E17" s="17" t="s">
        <v>1133</v>
      </c>
      <c r="F17" s="10" t="s">
        <v>1134</v>
      </c>
      <c r="G17" s="10" t="s">
        <v>1135</v>
      </c>
      <c r="H17" s="18" t="s">
        <v>204</v>
      </c>
      <c r="I17" s="10" t="s">
        <v>1135</v>
      </c>
    </row>
    <row r="18" ht="15" customHeight="1" spans="1:9">
      <c r="A18" s="9" t="s">
        <v>247</v>
      </c>
      <c r="B18" s="10" t="s">
        <v>1131</v>
      </c>
      <c r="C18" s="10" t="s">
        <v>1136</v>
      </c>
      <c r="D18" s="17" t="s">
        <v>1076</v>
      </c>
      <c r="E18" s="17" t="s">
        <v>1137</v>
      </c>
      <c r="F18" s="10" t="s">
        <v>1138</v>
      </c>
      <c r="G18" s="10" t="s">
        <v>1139</v>
      </c>
      <c r="H18" s="18" t="s">
        <v>249</v>
      </c>
      <c r="I18" s="10" t="s">
        <v>1139</v>
      </c>
    </row>
    <row r="19" ht="15" customHeight="1" spans="1:9">
      <c r="A19" s="9" t="s">
        <v>447</v>
      </c>
      <c r="B19" s="10" t="s">
        <v>1074</v>
      </c>
      <c r="C19" s="10" t="s">
        <v>1140</v>
      </c>
      <c r="D19" s="17" t="s">
        <v>1076</v>
      </c>
      <c r="E19" s="17" t="s">
        <v>1141</v>
      </c>
      <c r="F19" s="10" t="s">
        <v>1142</v>
      </c>
      <c r="G19" s="10" t="s">
        <v>1143</v>
      </c>
      <c r="H19" s="18" t="s">
        <v>316</v>
      </c>
      <c r="I19" s="10" t="s">
        <v>1143</v>
      </c>
    </row>
    <row r="20" ht="15" customHeight="1" spans="1:9">
      <c r="A20" s="9" t="s">
        <v>452</v>
      </c>
      <c r="B20" s="10" t="s">
        <v>1084</v>
      </c>
      <c r="C20" s="10" t="s">
        <v>1144</v>
      </c>
      <c r="D20" s="17" t="s">
        <v>1076</v>
      </c>
      <c r="E20" s="17" t="s">
        <v>1141</v>
      </c>
      <c r="F20" s="10" t="s">
        <v>1145</v>
      </c>
      <c r="G20" s="10" t="s">
        <v>1146</v>
      </c>
      <c r="H20" s="18" t="s">
        <v>454</v>
      </c>
      <c r="I20" s="10" t="s">
        <v>1146</v>
      </c>
    </row>
    <row r="21" ht="26.4" customHeight="1" spans="1:9">
      <c r="A21" s="9" t="s">
        <v>461</v>
      </c>
      <c r="B21" s="10" t="s">
        <v>1074</v>
      </c>
      <c r="C21" s="10" t="s">
        <v>1147</v>
      </c>
      <c r="D21" s="17" t="s">
        <v>1076</v>
      </c>
      <c r="E21" s="17" t="s">
        <v>1148</v>
      </c>
      <c r="F21" s="10" t="s">
        <v>1149</v>
      </c>
      <c r="G21" s="10" t="s">
        <v>1150</v>
      </c>
      <c r="H21" s="18" t="s">
        <v>344</v>
      </c>
      <c r="I21" s="10" t="s">
        <v>1150</v>
      </c>
    </row>
    <row r="22" ht="26.4" customHeight="1" spans="1:9">
      <c r="A22" s="9" t="s">
        <v>363</v>
      </c>
      <c r="B22" s="10" t="s">
        <v>38</v>
      </c>
      <c r="C22" s="10" t="s">
        <v>1151</v>
      </c>
      <c r="D22" s="17" t="s">
        <v>1076</v>
      </c>
      <c r="E22" s="17" t="s">
        <v>1152</v>
      </c>
      <c r="F22" s="10" t="s">
        <v>1153</v>
      </c>
      <c r="G22" s="10" t="s">
        <v>1154</v>
      </c>
      <c r="H22" s="18" t="s">
        <v>365</v>
      </c>
      <c r="I22" s="10" t="s">
        <v>1154</v>
      </c>
    </row>
    <row r="23" ht="26.4" customHeight="1" spans="1:9">
      <c r="A23" s="9" t="s">
        <v>383</v>
      </c>
      <c r="B23" s="10" t="s">
        <v>38</v>
      </c>
      <c r="C23" s="10" t="s">
        <v>1155</v>
      </c>
      <c r="D23" s="17" t="s">
        <v>1076</v>
      </c>
      <c r="E23" s="17" t="s">
        <v>1156</v>
      </c>
      <c r="F23" s="10" t="s">
        <v>1157</v>
      </c>
      <c r="G23" s="10" t="s">
        <v>1158</v>
      </c>
      <c r="H23" s="18" t="s">
        <v>385</v>
      </c>
      <c r="I23" s="10" t="s">
        <v>1158</v>
      </c>
    </row>
    <row r="24" ht="26.4" customHeight="1" spans="1:9">
      <c r="A24" s="9" t="s">
        <v>412</v>
      </c>
      <c r="B24" s="10" t="s">
        <v>1084</v>
      </c>
      <c r="C24" s="10" t="s">
        <v>1159</v>
      </c>
      <c r="D24" s="17" t="s">
        <v>1076</v>
      </c>
      <c r="E24" s="17" t="s">
        <v>1160</v>
      </c>
      <c r="F24" s="10" t="s">
        <v>1161</v>
      </c>
      <c r="G24" s="10" t="s">
        <v>1162</v>
      </c>
      <c r="H24" s="18" t="s">
        <v>414</v>
      </c>
      <c r="I24" s="10" t="s">
        <v>1162</v>
      </c>
    </row>
    <row r="25" ht="26.4" customHeight="1" spans="1:9">
      <c r="A25" s="9" t="s">
        <v>491</v>
      </c>
      <c r="B25" s="10" t="s">
        <v>38</v>
      </c>
      <c r="C25" s="10" t="s">
        <v>1163</v>
      </c>
      <c r="D25" s="17" t="s">
        <v>1076</v>
      </c>
      <c r="E25" s="17" t="s">
        <v>1164</v>
      </c>
      <c r="F25" s="10" t="s">
        <v>1165</v>
      </c>
      <c r="G25" s="10" t="s">
        <v>1166</v>
      </c>
      <c r="H25" s="18" t="s">
        <v>308</v>
      </c>
      <c r="I25" s="10" t="s">
        <v>1166</v>
      </c>
    </row>
    <row r="26" ht="26.4" customHeight="1" spans="1:9">
      <c r="A26" s="9" t="s">
        <v>484</v>
      </c>
      <c r="B26" s="10" t="s">
        <v>1084</v>
      </c>
      <c r="C26" s="10" t="s">
        <v>1167</v>
      </c>
      <c r="D26" s="17" t="s">
        <v>1076</v>
      </c>
      <c r="E26" s="17" t="s">
        <v>1168</v>
      </c>
      <c r="F26" s="10" t="s">
        <v>1169</v>
      </c>
      <c r="G26" s="10" t="s">
        <v>1170</v>
      </c>
      <c r="H26" s="18" t="s">
        <v>302</v>
      </c>
      <c r="I26" s="10" t="s">
        <v>1170</v>
      </c>
    </row>
    <row r="27" ht="15" customHeight="1" spans="1:9">
      <c r="A27" s="9" t="s">
        <v>506</v>
      </c>
      <c r="B27" s="10" t="s">
        <v>1084</v>
      </c>
      <c r="C27" s="10" t="s">
        <v>1171</v>
      </c>
      <c r="D27" s="17" t="s">
        <v>1076</v>
      </c>
      <c r="E27" s="17" t="s">
        <v>735</v>
      </c>
      <c r="F27" s="10" t="s">
        <v>1172</v>
      </c>
      <c r="G27" s="10" t="s">
        <v>1173</v>
      </c>
      <c r="H27" s="18" t="s">
        <v>508</v>
      </c>
      <c r="I27" s="10" t="s">
        <v>1173</v>
      </c>
    </row>
    <row r="28" ht="15" customHeight="1" spans="1:9">
      <c r="A28" s="9" t="s">
        <v>512</v>
      </c>
      <c r="B28" s="10" t="s">
        <v>1084</v>
      </c>
      <c r="C28" s="10" t="s">
        <v>1174</v>
      </c>
      <c r="D28" s="17" t="s">
        <v>1076</v>
      </c>
      <c r="E28" s="17" t="s">
        <v>1175</v>
      </c>
      <c r="F28" s="10" t="s">
        <v>1176</v>
      </c>
      <c r="G28" s="10" t="s">
        <v>1177</v>
      </c>
      <c r="H28" s="18" t="s">
        <v>514</v>
      </c>
      <c r="I28" s="10" t="s">
        <v>1177</v>
      </c>
    </row>
    <row r="29" ht="26.4" customHeight="1" spans="1:9">
      <c r="A29" s="9" t="s">
        <v>538</v>
      </c>
      <c r="B29" s="10" t="s">
        <v>1178</v>
      </c>
      <c r="C29" s="10" t="s">
        <v>1179</v>
      </c>
      <c r="D29" s="17" t="s">
        <v>1180</v>
      </c>
      <c r="E29" s="17" t="s">
        <v>1181</v>
      </c>
      <c r="F29" s="10" t="s">
        <v>1182</v>
      </c>
      <c r="G29" s="10" t="s">
        <v>1183</v>
      </c>
      <c r="H29" s="18" t="s">
        <v>290</v>
      </c>
      <c r="I29" s="10" t="s">
        <v>1183</v>
      </c>
    </row>
    <row r="30" ht="26.4" customHeight="1" spans="1:9">
      <c r="A30" s="9" t="s">
        <v>1184</v>
      </c>
      <c r="B30" s="10" t="s">
        <v>1185</v>
      </c>
      <c r="C30" s="10" t="s">
        <v>1186</v>
      </c>
      <c r="D30" s="17" t="s">
        <v>1187</v>
      </c>
      <c r="E30" s="17" t="s">
        <v>1188</v>
      </c>
      <c r="F30" s="10" t="s">
        <v>1189</v>
      </c>
      <c r="G30" s="10" t="s">
        <v>1190</v>
      </c>
      <c r="H30" s="18" t="s">
        <v>1191</v>
      </c>
      <c r="I30" s="10" t="s">
        <v>1190</v>
      </c>
    </row>
    <row r="31" ht="15" customHeight="1" spans="1:9">
      <c r="A31" s="9" t="s">
        <v>254</v>
      </c>
      <c r="B31" s="10" t="s">
        <v>1084</v>
      </c>
      <c r="C31" s="10" t="s">
        <v>1192</v>
      </c>
      <c r="D31" s="17" t="s">
        <v>884</v>
      </c>
      <c r="E31" s="17" t="s">
        <v>1137</v>
      </c>
      <c r="F31" s="10" t="s">
        <v>1193</v>
      </c>
      <c r="G31" s="10" t="s">
        <v>1194</v>
      </c>
      <c r="H31" s="18" t="s">
        <v>256</v>
      </c>
      <c r="I31" s="10" t="s">
        <v>1194</v>
      </c>
    </row>
    <row r="32" ht="15" customHeight="1" spans="1:9">
      <c r="A32" s="9" t="s">
        <v>264</v>
      </c>
      <c r="B32" s="10" t="s">
        <v>1131</v>
      </c>
      <c r="C32" s="10" t="s">
        <v>1195</v>
      </c>
      <c r="D32" s="17" t="s">
        <v>884</v>
      </c>
      <c r="E32" s="17" t="s">
        <v>1196</v>
      </c>
      <c r="F32" s="10" t="s">
        <v>1197</v>
      </c>
      <c r="G32" s="10" t="s">
        <v>1198</v>
      </c>
      <c r="H32" s="18" t="s">
        <v>266</v>
      </c>
      <c r="I32" s="10" t="s">
        <v>1198</v>
      </c>
    </row>
    <row r="33" ht="15" customHeight="1" spans="1:9">
      <c r="A33" s="9" t="s">
        <v>336</v>
      </c>
      <c r="B33" s="10" t="s">
        <v>1074</v>
      </c>
      <c r="C33" s="10" t="s">
        <v>1199</v>
      </c>
      <c r="D33" s="17" t="s">
        <v>1187</v>
      </c>
      <c r="E33" s="17" t="s">
        <v>1200</v>
      </c>
      <c r="F33" s="10" t="s">
        <v>1201</v>
      </c>
      <c r="G33" s="10" t="s">
        <v>1202</v>
      </c>
      <c r="H33" s="18" t="s">
        <v>338</v>
      </c>
      <c r="I33" s="10" t="s">
        <v>1202</v>
      </c>
    </row>
    <row r="34" ht="15" customHeight="1" spans="1:9">
      <c r="A34" s="9" t="s">
        <v>437</v>
      </c>
      <c r="B34" s="10" t="s">
        <v>1084</v>
      </c>
      <c r="C34" s="10" t="s">
        <v>1203</v>
      </c>
      <c r="D34" s="17" t="s">
        <v>884</v>
      </c>
      <c r="E34" s="17" t="s">
        <v>1204</v>
      </c>
      <c r="F34" s="10" t="s">
        <v>1205</v>
      </c>
      <c r="G34" s="10" t="s">
        <v>1206</v>
      </c>
      <c r="H34" s="18" t="s">
        <v>439</v>
      </c>
      <c r="I34" s="10" t="s">
        <v>1206</v>
      </c>
    </row>
    <row r="35" ht="39.6" customHeight="1" spans="1:9">
      <c r="A35" s="9" t="s">
        <v>1207</v>
      </c>
      <c r="B35" s="10" t="s">
        <v>1208</v>
      </c>
      <c r="C35" s="10" t="s">
        <v>1209</v>
      </c>
      <c r="D35" s="17" t="s">
        <v>1210</v>
      </c>
      <c r="E35" s="17" t="s">
        <v>1211</v>
      </c>
      <c r="F35" s="10" t="s">
        <v>1212</v>
      </c>
      <c r="G35" s="10" t="s">
        <v>1213</v>
      </c>
      <c r="H35" s="18" t="s">
        <v>1214</v>
      </c>
      <c r="I35" s="10" t="s">
        <v>1215</v>
      </c>
    </row>
    <row r="36" ht="39.6" customHeight="1" spans="1:9">
      <c r="A36" s="9" t="s">
        <v>887</v>
      </c>
      <c r="B36" s="10" t="s">
        <v>1216</v>
      </c>
      <c r="C36" s="10" t="s">
        <v>1217</v>
      </c>
      <c r="D36" s="17" t="s">
        <v>884</v>
      </c>
      <c r="E36" s="17" t="s">
        <v>1218</v>
      </c>
      <c r="F36" s="10" t="s">
        <v>1219</v>
      </c>
      <c r="G36" s="10" t="s">
        <v>1220</v>
      </c>
      <c r="H36" s="18" t="s">
        <v>1221</v>
      </c>
      <c r="I36" s="10" t="s">
        <v>1222</v>
      </c>
    </row>
    <row r="37" ht="39.6" customHeight="1" spans="1:9">
      <c r="A37" s="9" t="s">
        <v>891</v>
      </c>
      <c r="B37" s="10" t="s">
        <v>1223</v>
      </c>
      <c r="C37" s="10" t="s">
        <v>1224</v>
      </c>
      <c r="D37" s="17" t="s">
        <v>884</v>
      </c>
      <c r="E37" s="17" t="s">
        <v>1225</v>
      </c>
      <c r="F37" s="10" t="s">
        <v>1226</v>
      </c>
      <c r="G37" s="10" t="s">
        <v>1227</v>
      </c>
      <c r="H37" s="18" t="s">
        <v>1228</v>
      </c>
      <c r="I37" s="10" t="s">
        <v>1229</v>
      </c>
    </row>
    <row r="38" spans="1:9">
      <c r="A38" s="19"/>
      <c r="B38" s="20"/>
      <c r="C38" s="20"/>
      <c r="D38" s="21"/>
      <c r="E38" s="21"/>
      <c r="F38" s="20"/>
      <c r="G38" s="20"/>
      <c r="H38" s="18"/>
      <c r="I38" s="20"/>
    </row>
    <row r="39" spans="1:9">
      <c r="A39" s="19"/>
      <c r="B39" s="20"/>
      <c r="C39" s="20"/>
      <c r="D39" s="21"/>
      <c r="E39" s="21"/>
      <c r="F39" s="20"/>
      <c r="G39" s="20"/>
      <c r="H39" s="18"/>
      <c r="I39" s="20"/>
    </row>
    <row r="40" spans="1:9">
      <c r="A40" s="19"/>
      <c r="B40" s="20"/>
      <c r="C40" s="20"/>
      <c r="D40" s="21"/>
      <c r="E40" s="21"/>
      <c r="F40" s="20"/>
      <c r="G40" s="20"/>
      <c r="H40" s="18"/>
      <c r="I40" s="20"/>
    </row>
  </sheetData>
  <mergeCells count="3">
    <mergeCell ref="A1:I1"/>
    <mergeCell ref="A2:I2"/>
    <mergeCell ref="A3:I3"/>
  </mergeCells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A1" sqref="A1:K1"/>
    </sheetView>
  </sheetViews>
  <sheetFormatPr defaultColWidth="9" defaultRowHeight="16.8"/>
  <cols>
    <col min="1" max="1" width="8" customWidth="1"/>
    <col min="2" max="8" width="18" customWidth="1"/>
    <col min="9" max="9" width="30" customWidth="1"/>
    <col min="10" max="10" width="12" customWidth="1"/>
    <col min="11" max="11" width="24" customWidth="1"/>
  </cols>
  <sheetData>
    <row r="1" ht="20.4" spans="1:11">
      <c r="A1" s="6" t="s">
        <v>1230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7" t="s">
        <v>1231</v>
      </c>
    </row>
    <row r="3" ht="17" spans="1:11">
      <c r="A3" s="8" t="s">
        <v>1065</v>
      </c>
      <c r="B3" s="8" t="s">
        <v>1232</v>
      </c>
      <c r="C3" s="8" t="s">
        <v>1233</v>
      </c>
      <c r="D3" s="8" t="s">
        <v>35</v>
      </c>
      <c r="E3" s="8" t="s">
        <v>783</v>
      </c>
      <c r="F3" s="8" t="s">
        <v>1234</v>
      </c>
      <c r="G3" s="8" t="s">
        <v>1235</v>
      </c>
      <c r="H3" s="8" t="s">
        <v>1236</v>
      </c>
      <c r="I3" s="8" t="s">
        <v>1237</v>
      </c>
      <c r="J3" s="8" t="s">
        <v>39</v>
      </c>
      <c r="K3" s="8" t="s">
        <v>1072</v>
      </c>
    </row>
    <row r="4" ht="78" customHeight="1" spans="1:11">
      <c r="A4" s="9" t="s">
        <v>1238</v>
      </c>
      <c r="B4" s="10" t="s">
        <v>1239</v>
      </c>
      <c r="C4" s="10" t="s">
        <v>1240</v>
      </c>
      <c r="D4" s="10" t="s">
        <v>1241</v>
      </c>
      <c r="E4" s="10" t="s">
        <v>1242</v>
      </c>
      <c r="F4" s="10" t="s">
        <v>1243</v>
      </c>
      <c r="G4" s="10" t="s">
        <v>1244</v>
      </c>
      <c r="H4" s="10" t="s">
        <v>1245</v>
      </c>
      <c r="I4" s="10" t="s">
        <v>1246</v>
      </c>
      <c r="J4" s="10" t="s">
        <v>18</v>
      </c>
      <c r="K4" s="10" t="s">
        <v>1247</v>
      </c>
    </row>
    <row r="5" ht="78" customHeight="1" spans="1:11">
      <c r="A5" s="9" t="s">
        <v>1248</v>
      </c>
      <c r="B5" s="10" t="s">
        <v>1239</v>
      </c>
      <c r="C5" s="10" t="s">
        <v>1249</v>
      </c>
      <c r="D5" s="10" t="s">
        <v>1250</v>
      </c>
      <c r="E5" s="10" t="s">
        <v>1251</v>
      </c>
      <c r="F5" s="10" t="s">
        <v>1252</v>
      </c>
      <c r="G5" s="10" t="s">
        <v>1253</v>
      </c>
      <c r="H5" s="10" t="s">
        <v>1254</v>
      </c>
      <c r="I5" s="10" t="s">
        <v>1255</v>
      </c>
      <c r="J5" s="10" t="s">
        <v>18</v>
      </c>
      <c r="K5" s="10" t="s">
        <v>1256</v>
      </c>
    </row>
    <row r="6" ht="78" customHeight="1" spans="1:11">
      <c r="A6" s="9" t="s">
        <v>1257</v>
      </c>
      <c r="B6" s="10" t="s">
        <v>1258</v>
      </c>
      <c r="C6" s="10" t="s">
        <v>1259</v>
      </c>
      <c r="D6" s="10" t="s">
        <v>1260</v>
      </c>
      <c r="E6" s="10" t="s">
        <v>1261</v>
      </c>
      <c r="F6" s="10" t="s">
        <v>1262</v>
      </c>
      <c r="G6" s="10" t="s">
        <v>1263</v>
      </c>
      <c r="H6" s="10" t="s">
        <v>1264</v>
      </c>
      <c r="I6" s="10" t="s">
        <v>1265</v>
      </c>
      <c r="J6" s="10" t="s">
        <v>18</v>
      </c>
      <c r="K6" s="10" t="s">
        <v>1266</v>
      </c>
    </row>
    <row r="7" ht="78" customHeight="1" spans="1:11">
      <c r="A7" s="9" t="s">
        <v>1267</v>
      </c>
      <c r="B7" s="10" t="s">
        <v>1268</v>
      </c>
      <c r="C7" s="10" t="s">
        <v>1269</v>
      </c>
      <c r="D7" s="10" t="s">
        <v>1270</v>
      </c>
      <c r="E7" s="10" t="s">
        <v>1271</v>
      </c>
      <c r="F7" s="10" t="s">
        <v>1272</v>
      </c>
      <c r="G7" s="10" t="s">
        <v>1273</v>
      </c>
      <c r="H7" s="10" t="s">
        <v>1274</v>
      </c>
      <c r="I7" s="10" t="s">
        <v>1275</v>
      </c>
      <c r="J7" s="10" t="s">
        <v>18</v>
      </c>
      <c r="K7" s="10" t="s">
        <v>1276</v>
      </c>
    </row>
    <row r="8" ht="78" customHeight="1" spans="1:11">
      <c r="A8" s="9" t="s">
        <v>1277</v>
      </c>
      <c r="B8" s="10" t="s">
        <v>1278</v>
      </c>
      <c r="C8" s="10" t="s">
        <v>1279</v>
      </c>
      <c r="D8" s="10" t="s">
        <v>1280</v>
      </c>
      <c r="E8" s="10" t="s">
        <v>1281</v>
      </c>
      <c r="F8" s="10" t="s">
        <v>1282</v>
      </c>
      <c r="G8" s="10" t="s">
        <v>1283</v>
      </c>
      <c r="H8" s="10" t="s">
        <v>1284</v>
      </c>
      <c r="I8" s="10" t="s">
        <v>1285</v>
      </c>
      <c r="J8" s="10" t="s">
        <v>18</v>
      </c>
      <c r="K8" s="10" t="s">
        <v>1286</v>
      </c>
    </row>
    <row r="9" ht="78" customHeight="1" spans="1:11">
      <c r="A9" s="9" t="s">
        <v>1287</v>
      </c>
      <c r="B9" s="10" t="s">
        <v>1288</v>
      </c>
      <c r="C9" s="10" t="s">
        <v>1289</v>
      </c>
      <c r="D9" s="10" t="s">
        <v>1290</v>
      </c>
      <c r="E9" s="10" t="s">
        <v>1291</v>
      </c>
      <c r="F9" s="10" t="s">
        <v>1292</v>
      </c>
      <c r="G9" s="10" t="s">
        <v>1293</v>
      </c>
      <c r="H9" s="10" t="s">
        <v>1294</v>
      </c>
      <c r="I9" s="10" t="s">
        <v>1295</v>
      </c>
      <c r="J9" s="10" t="s">
        <v>18</v>
      </c>
      <c r="K9" s="10" t="s">
        <v>1296</v>
      </c>
    </row>
    <row r="12" spans="1:11">
      <c r="A12" s="11" t="s">
        <v>1297</v>
      </c>
      <c r="B12" t="s">
        <v>17</v>
      </c>
      <c r="C12" t="s">
        <v>17</v>
      </c>
      <c r="D12" t="s">
        <v>17</v>
      </c>
      <c r="E12" t="s">
        <v>17</v>
      </c>
      <c r="F12" t="s">
        <v>17</v>
      </c>
    </row>
    <row r="13" ht="32" customHeight="1" spans="1:11">
      <c r="A13" s="12" t="s">
        <v>15</v>
      </c>
      <c r="B13" s="13" t="s">
        <v>1298</v>
      </c>
    </row>
    <row r="14" ht="32" customHeight="1" spans="1:11">
      <c r="A14" s="12" t="s">
        <v>21</v>
      </c>
      <c r="B14" s="13" t="s">
        <v>1299</v>
      </c>
    </row>
    <row r="15" ht="32" customHeight="1" spans="1:11">
      <c r="A15" s="12" t="s">
        <v>26</v>
      </c>
      <c r="B15" s="13" t="s">
        <v>1300</v>
      </c>
    </row>
    <row r="16" ht="32" customHeight="1" spans="1:11">
      <c r="A16" s="12" t="s">
        <v>29</v>
      </c>
      <c r="B16" s="13" t="s">
        <v>1301</v>
      </c>
    </row>
    <row r="17" ht="32" customHeight="1" spans="1:2">
      <c r="A17" s="12" t="s">
        <v>32</v>
      </c>
      <c r="B17" s="13" t="s">
        <v>1302</v>
      </c>
    </row>
    <row r="18" ht="32" customHeight="1" spans="1:2">
      <c r="A18" s="12" t="s">
        <v>1303</v>
      </c>
      <c r="B18" s="13" t="s">
        <v>1304</v>
      </c>
    </row>
  </sheetData>
  <mergeCells count="9">
    <mergeCell ref="A1:K1"/>
    <mergeCell ref="A2:K2"/>
    <mergeCell ref="A12:F12"/>
    <mergeCell ref="B13:H13"/>
    <mergeCell ref="B14:H14"/>
    <mergeCell ref="B15:H15"/>
    <mergeCell ref="B16:H16"/>
    <mergeCell ref="B17:H17"/>
    <mergeCell ref="B18:H18"/>
  </mergeCells>
  <conditionalFormatting sqref="J4:J9">
    <cfRule type="expression" dxfId="1" priority="1">
      <formula>J4="通过"</formula>
    </cfRule>
    <cfRule type="expression" dxfId="2" priority="2">
      <formula>J4="待Review"</formula>
    </cfRule>
    <cfRule type="expression" dxfId="0" priority="3">
      <formula>J4="延期"</formula>
    </cfRule>
  </conditionalFormatting>
  <conditionalFormatting sqref="J4:J20">
    <cfRule type="expression" dxfId="4" priority="4">
      <formula>J5="完成"</formula>
    </cfRule>
    <cfRule type="expression" dxfId="5" priority="5">
      <formula>J5="进行中"</formula>
    </cfRule>
    <cfRule type="expression" dxfId="6" priority="6">
      <formula>J5="延期"</formula>
    </cfRule>
  </conditionalFormatting>
  <dataValidations count="1">
    <dataValidation type="list" sqref="J4:J9">
      <formula1>"未开始,进行中,待Review,通过,延期"</formula1>
    </dataValidation>
  </dataValidation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:H1"/>
    </sheetView>
  </sheetViews>
  <sheetFormatPr defaultColWidth="9" defaultRowHeight="16.8" outlineLevelCol="7"/>
  <cols>
    <col min="1" max="1" width="16" customWidth="1"/>
    <col min="2" max="2" width="34" customWidth="1"/>
    <col min="3" max="3" width="12" customWidth="1"/>
    <col min="4" max="4" width="20" customWidth="1"/>
    <col min="5" max="5" width="12" customWidth="1"/>
    <col min="6" max="6" width="20" customWidth="1"/>
    <col min="7" max="7" width="34" customWidth="1"/>
    <col min="8" max="8" width="28" customWidth="1"/>
  </cols>
  <sheetData>
    <row r="1" ht="28" customHeight="1" spans="1:8">
      <c r="A1" s="1" t="s">
        <v>1305</v>
      </c>
      <c r="B1" s="1"/>
      <c r="C1" s="1"/>
      <c r="D1" s="1"/>
      <c r="E1" s="1"/>
      <c r="F1" s="1"/>
      <c r="G1" s="1"/>
      <c r="H1" s="1"/>
    </row>
    <row r="2" ht="15" customHeight="1" spans="1:8">
      <c r="A2" s="2" t="s">
        <v>1306</v>
      </c>
      <c r="B2" s="2"/>
      <c r="C2" s="2"/>
      <c r="D2" s="2"/>
      <c r="E2" s="2"/>
      <c r="F2" s="2"/>
      <c r="G2" s="2"/>
      <c r="H2" s="2"/>
    </row>
    <row r="3" ht="22" customHeight="1"/>
    <row r="4" ht="15" customHeight="1" spans="1:8">
      <c r="A4" s="5" t="s">
        <v>1307</v>
      </c>
      <c r="B4" s="5" t="s">
        <v>1308</v>
      </c>
      <c r="C4" s="5" t="s">
        <v>103</v>
      </c>
      <c r="D4" s="5" t="s">
        <v>1309</v>
      </c>
      <c r="E4" s="5" t="s">
        <v>1310</v>
      </c>
      <c r="F4" s="5" t="s">
        <v>1311</v>
      </c>
      <c r="G4" s="5" t="s">
        <v>1312</v>
      </c>
      <c r="H4" s="5" t="s">
        <v>1313</v>
      </c>
    </row>
    <row r="5" ht="39.6" customHeight="1" spans="1:8">
      <c r="A5" s="4" t="s">
        <v>1314</v>
      </c>
      <c r="B5" s="4" t="s">
        <v>1315</v>
      </c>
      <c r="C5" s="4" t="s">
        <v>671</v>
      </c>
      <c r="D5" s="4" t="s">
        <v>1316</v>
      </c>
      <c r="E5" s="4" t="s">
        <v>1317</v>
      </c>
      <c r="F5" s="4" t="s">
        <v>1318</v>
      </c>
      <c r="G5" s="4" t="s">
        <v>1319</v>
      </c>
      <c r="H5" s="4" t="s">
        <v>1320</v>
      </c>
    </row>
    <row r="6" ht="26.4" customHeight="1" spans="1:8">
      <c r="A6" s="4" t="s">
        <v>1321</v>
      </c>
      <c r="B6" s="4" t="s">
        <v>1322</v>
      </c>
      <c r="C6" s="4" t="s">
        <v>642</v>
      </c>
      <c r="D6" s="4" t="s">
        <v>1316</v>
      </c>
      <c r="E6" s="4" t="s">
        <v>21</v>
      </c>
      <c r="F6" s="4" t="s">
        <v>1323</v>
      </c>
      <c r="G6" s="4" t="s">
        <v>1324</v>
      </c>
      <c r="H6" s="4" t="s">
        <v>1325</v>
      </c>
    </row>
    <row r="7" ht="26.4" customHeight="1" spans="1:8">
      <c r="A7" s="4" t="s">
        <v>1326</v>
      </c>
      <c r="B7" s="4" t="s">
        <v>1327</v>
      </c>
      <c r="C7" s="4" t="s">
        <v>671</v>
      </c>
      <c r="D7" s="4" t="s">
        <v>1316</v>
      </c>
      <c r="E7" s="4" t="s">
        <v>1328</v>
      </c>
      <c r="F7" s="4" t="s">
        <v>1329</v>
      </c>
      <c r="G7" s="4" t="s">
        <v>1330</v>
      </c>
      <c r="H7" s="4" t="s">
        <v>1331</v>
      </c>
    </row>
    <row r="8" ht="26.4" customHeight="1" spans="1:8">
      <c r="A8" s="4" t="s">
        <v>1332</v>
      </c>
      <c r="B8" s="4" t="s">
        <v>1333</v>
      </c>
      <c r="C8" s="4" t="s">
        <v>738</v>
      </c>
      <c r="D8" s="4" t="s">
        <v>1334</v>
      </c>
      <c r="E8" s="4" t="s">
        <v>1335</v>
      </c>
      <c r="F8" s="4" t="s">
        <v>1336</v>
      </c>
      <c r="G8" s="4" t="s">
        <v>1337</v>
      </c>
      <c r="H8" s="4" t="s">
        <v>1338</v>
      </c>
    </row>
    <row r="9" ht="15" customHeight="1" spans="1:8">
      <c r="A9" s="4" t="s">
        <v>1339</v>
      </c>
      <c r="B9" s="4" t="s">
        <v>1340</v>
      </c>
      <c r="C9" s="4" t="s">
        <v>671</v>
      </c>
      <c r="D9" s="4" t="s">
        <v>1316</v>
      </c>
      <c r="E9" s="4" t="s">
        <v>681</v>
      </c>
      <c r="F9" s="4" t="s">
        <v>1341</v>
      </c>
      <c r="G9" s="4" t="s">
        <v>1342</v>
      </c>
      <c r="H9" s="4" t="s">
        <v>1343</v>
      </c>
    </row>
    <row r="10" ht="26.4" customHeight="1" spans="1:8">
      <c r="A10" s="4" t="s">
        <v>676</v>
      </c>
      <c r="B10" s="4" t="s">
        <v>1344</v>
      </c>
      <c r="C10" s="4" t="s">
        <v>642</v>
      </c>
      <c r="D10" s="4" t="s">
        <v>1345</v>
      </c>
      <c r="E10" s="4" t="s">
        <v>1346</v>
      </c>
      <c r="F10" s="4" t="s">
        <v>1347</v>
      </c>
      <c r="G10" s="4" t="s">
        <v>1348</v>
      </c>
      <c r="H10" s="4" t="s">
        <v>1349</v>
      </c>
    </row>
    <row r="11" ht="26.4" customHeight="1" spans="1:8">
      <c r="A11" s="4" t="s">
        <v>1350</v>
      </c>
      <c r="B11" s="4" t="s">
        <v>1351</v>
      </c>
      <c r="C11" s="4" t="s">
        <v>642</v>
      </c>
      <c r="D11" s="4" t="s">
        <v>1345</v>
      </c>
      <c r="E11" s="4" t="s">
        <v>766</v>
      </c>
      <c r="F11" s="4" t="s">
        <v>1352</v>
      </c>
      <c r="G11" s="4" t="s">
        <v>1353</v>
      </c>
      <c r="H11" s="4" t="s">
        <v>1354</v>
      </c>
    </row>
    <row r="12" ht="15" customHeight="1" spans="1:8">
      <c r="A12" s="4" t="s">
        <v>1355</v>
      </c>
      <c r="B12" s="4" t="s">
        <v>1356</v>
      </c>
      <c r="C12" s="4" t="s">
        <v>671</v>
      </c>
      <c r="D12" s="4" t="s">
        <v>1357</v>
      </c>
      <c r="E12" s="4" t="s">
        <v>705</v>
      </c>
      <c r="F12" s="4" t="s">
        <v>1358</v>
      </c>
      <c r="G12" s="4" t="s">
        <v>1359</v>
      </c>
      <c r="H12" s="4" t="s">
        <v>1360</v>
      </c>
    </row>
    <row r="13" ht="26.4" customHeight="1" spans="1:8">
      <c r="A13" s="4" t="s">
        <v>1361</v>
      </c>
      <c r="B13" s="4" t="s">
        <v>1362</v>
      </c>
      <c r="C13" s="4" t="s">
        <v>671</v>
      </c>
      <c r="D13" s="4" t="s">
        <v>1363</v>
      </c>
      <c r="E13" s="4" t="s">
        <v>714</v>
      </c>
      <c r="F13" s="4" t="s">
        <v>1364</v>
      </c>
      <c r="G13" s="4" t="s">
        <v>1365</v>
      </c>
      <c r="H13" s="4" t="s">
        <v>1366</v>
      </c>
    </row>
    <row r="14" ht="26.4" customHeight="1" spans="1:8">
      <c r="A14" s="4" t="s">
        <v>1174</v>
      </c>
      <c r="B14" s="4" t="s">
        <v>1367</v>
      </c>
      <c r="C14" s="4" t="s">
        <v>671</v>
      </c>
      <c r="D14" s="4" t="s">
        <v>1368</v>
      </c>
      <c r="E14" s="4" t="s">
        <v>735</v>
      </c>
      <c r="F14" s="4" t="s">
        <v>1369</v>
      </c>
      <c r="G14" s="4" t="s">
        <v>1370</v>
      </c>
      <c r="H14" s="4" t="s">
        <v>1371</v>
      </c>
    </row>
    <row r="15" ht="15" customHeight="1" spans="1:8">
      <c r="A15" s="4" t="s">
        <v>1372</v>
      </c>
      <c r="B15" s="4" t="s">
        <v>1373</v>
      </c>
      <c r="C15" s="4" t="s">
        <v>738</v>
      </c>
      <c r="D15" s="4" t="s">
        <v>1374</v>
      </c>
      <c r="E15" s="4" t="s">
        <v>1375</v>
      </c>
      <c r="F15" s="4" t="s">
        <v>1376</v>
      </c>
      <c r="G15" s="4" t="s">
        <v>1377</v>
      </c>
      <c r="H15" s="4" t="s">
        <v>1378</v>
      </c>
    </row>
    <row r="16" ht="26.4" customHeight="1" spans="1:8">
      <c r="A16" s="4" t="s">
        <v>1379</v>
      </c>
      <c r="B16" s="4" t="s">
        <v>1380</v>
      </c>
      <c r="C16" s="4" t="s">
        <v>738</v>
      </c>
      <c r="D16" s="4" t="s">
        <v>1374</v>
      </c>
      <c r="E16" s="4" t="s">
        <v>748</v>
      </c>
      <c r="F16" s="4" t="s">
        <v>1381</v>
      </c>
      <c r="G16" s="4" t="s">
        <v>1382</v>
      </c>
      <c r="H16" s="4" t="s">
        <v>1383</v>
      </c>
    </row>
    <row r="17" ht="26.4" customHeight="1" spans="1:8">
      <c r="A17" s="4" t="s">
        <v>1384</v>
      </c>
      <c r="B17" s="4" t="s">
        <v>1385</v>
      </c>
      <c r="C17" s="4" t="s">
        <v>738</v>
      </c>
      <c r="D17" s="4" t="s">
        <v>1386</v>
      </c>
      <c r="E17" s="4" t="s">
        <v>1387</v>
      </c>
      <c r="F17" s="4" t="s">
        <v>1388</v>
      </c>
      <c r="G17" s="4" t="s">
        <v>1389</v>
      </c>
      <c r="H17" s="4" t="s">
        <v>1390</v>
      </c>
    </row>
    <row r="18" ht="15" customHeight="1" spans="1:8">
      <c r="A18" s="4" t="s">
        <v>1391</v>
      </c>
      <c r="B18" s="4" t="s">
        <v>1392</v>
      </c>
      <c r="C18" s="4" t="s">
        <v>738</v>
      </c>
      <c r="D18" s="4" t="s">
        <v>1374</v>
      </c>
      <c r="E18" s="4" t="s">
        <v>1393</v>
      </c>
      <c r="F18" s="4" t="s">
        <v>1394</v>
      </c>
      <c r="G18" s="4" t="s">
        <v>1395</v>
      </c>
      <c r="H18" s="4" t="s">
        <v>1396</v>
      </c>
    </row>
    <row r="19" ht="26.4" customHeight="1" spans="1:8">
      <c r="A19" s="4" t="s">
        <v>1397</v>
      </c>
      <c r="B19" s="4" t="s">
        <v>1398</v>
      </c>
      <c r="C19" s="4" t="s">
        <v>1399</v>
      </c>
      <c r="D19" s="4" t="s">
        <v>1400</v>
      </c>
      <c r="E19" s="4" t="s">
        <v>1401</v>
      </c>
      <c r="F19" s="4" t="s">
        <v>1402</v>
      </c>
      <c r="G19" s="4" t="s">
        <v>1403</v>
      </c>
      <c r="H19" s="4" t="s">
        <v>1404</v>
      </c>
    </row>
    <row r="20" ht="26.4" customHeight="1" spans="1:8">
      <c r="A20" s="4" t="s">
        <v>1405</v>
      </c>
      <c r="B20" s="4" t="s">
        <v>1406</v>
      </c>
      <c r="C20" s="4" t="s">
        <v>642</v>
      </c>
      <c r="D20" s="4" t="s">
        <v>1407</v>
      </c>
      <c r="E20" s="4" t="s">
        <v>660</v>
      </c>
      <c r="F20" s="4" t="s">
        <v>1408</v>
      </c>
      <c r="G20" s="4" t="s">
        <v>1409</v>
      </c>
      <c r="H20" s="4" t="s">
        <v>1410</v>
      </c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:J1"/>
    </sheetView>
  </sheetViews>
  <sheetFormatPr defaultColWidth="9" defaultRowHeight="16.8"/>
  <cols>
    <col min="1" max="1" width="24" customWidth="1"/>
    <col min="2" max="2" width="28" customWidth="1"/>
    <col min="3" max="3" width="14" customWidth="1"/>
    <col min="4" max="4" width="24" customWidth="1"/>
    <col min="5" max="5" width="12" customWidth="1"/>
    <col min="6" max="6" width="28" customWidth="1"/>
    <col min="7" max="7" width="30" customWidth="1"/>
    <col min="8" max="8" width="32" customWidth="1"/>
    <col min="9" max="9" width="18" customWidth="1"/>
    <col min="10" max="10" width="12" customWidth="1"/>
  </cols>
  <sheetData>
    <row r="1" ht="28" customHeight="1" spans="1:10">
      <c r="A1" s="1" t="s">
        <v>1411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 spans="1:10">
      <c r="A2" s="2" t="s">
        <v>1412</v>
      </c>
      <c r="B2" s="2"/>
      <c r="C2" s="2"/>
      <c r="D2" s="2"/>
      <c r="E2" s="2"/>
      <c r="F2" s="2"/>
      <c r="G2" s="2"/>
      <c r="H2" s="2"/>
      <c r="I2" s="2"/>
      <c r="J2" s="2"/>
    </row>
    <row r="4" ht="15" customHeight="1" spans="1:10">
      <c r="A4" s="3" t="s">
        <v>1413</v>
      </c>
      <c r="B4" s="3" t="s">
        <v>1414</v>
      </c>
      <c r="C4" s="3" t="s">
        <v>1415</v>
      </c>
      <c r="D4" s="3" t="s">
        <v>1416</v>
      </c>
      <c r="E4" s="3" t="s">
        <v>1417</v>
      </c>
      <c r="F4" s="3" t="s">
        <v>1418</v>
      </c>
      <c r="G4" s="3" t="s">
        <v>1419</v>
      </c>
      <c r="H4" s="3" t="s">
        <v>1236</v>
      </c>
      <c r="I4" s="3" t="s">
        <v>1420</v>
      </c>
      <c r="J4" s="3" t="s">
        <v>39</v>
      </c>
    </row>
    <row r="5" ht="15" customHeight="1" spans="1:10">
      <c r="A5" s="4" t="s">
        <v>1421</v>
      </c>
      <c r="B5" s="4" t="s">
        <v>1422</v>
      </c>
      <c r="C5" s="4" t="s">
        <v>1423</v>
      </c>
      <c r="D5" s="4" t="s">
        <v>1424</v>
      </c>
      <c r="E5" s="4" t="s">
        <v>1425</v>
      </c>
      <c r="F5" s="4" t="s">
        <v>1426</v>
      </c>
      <c r="G5" s="4" t="s">
        <v>1427</v>
      </c>
      <c r="H5" s="4" t="s">
        <v>1428</v>
      </c>
      <c r="I5" s="4" t="s">
        <v>1429</v>
      </c>
      <c r="J5" s="4" t="s">
        <v>18</v>
      </c>
    </row>
    <row r="6" ht="26.4" customHeight="1" spans="1:10">
      <c r="A6" s="4" t="s">
        <v>1430</v>
      </c>
      <c r="B6" s="4" t="s">
        <v>1431</v>
      </c>
      <c r="C6" s="4" t="s">
        <v>1423</v>
      </c>
      <c r="D6" s="4" t="s">
        <v>1432</v>
      </c>
      <c r="E6" s="4" t="s">
        <v>660</v>
      </c>
      <c r="F6" s="4" t="s">
        <v>1433</v>
      </c>
      <c r="G6" s="4" t="s">
        <v>1434</v>
      </c>
      <c r="H6" s="4" t="s">
        <v>1435</v>
      </c>
      <c r="I6" s="4" t="s">
        <v>1436</v>
      </c>
      <c r="J6" s="4" t="s">
        <v>18</v>
      </c>
    </row>
    <row r="7" ht="15" customHeight="1" spans="1:10">
      <c r="A7" s="4" t="s">
        <v>1437</v>
      </c>
      <c r="B7" s="4" t="s">
        <v>1438</v>
      </c>
      <c r="C7" s="4" t="s">
        <v>1439</v>
      </c>
      <c r="D7" s="4" t="s">
        <v>1440</v>
      </c>
      <c r="E7" s="4" t="s">
        <v>1393</v>
      </c>
      <c r="F7" s="4" t="s">
        <v>1441</v>
      </c>
      <c r="G7" s="4" t="s">
        <v>1442</v>
      </c>
      <c r="H7" s="4" t="s">
        <v>1443</v>
      </c>
      <c r="I7" s="4" t="s">
        <v>1444</v>
      </c>
      <c r="J7" s="4" t="s">
        <v>18</v>
      </c>
    </row>
    <row r="8" ht="15" customHeight="1" spans="1:10">
      <c r="A8" s="4" t="s">
        <v>1445</v>
      </c>
      <c r="B8" s="4" t="s">
        <v>1446</v>
      </c>
      <c r="C8" s="4" t="s">
        <v>1439</v>
      </c>
      <c r="D8" s="4" t="s">
        <v>1447</v>
      </c>
      <c r="E8" s="4" t="s">
        <v>1393</v>
      </c>
      <c r="F8" s="4" t="s">
        <v>1448</v>
      </c>
      <c r="G8" s="4" t="s">
        <v>1449</v>
      </c>
      <c r="H8" s="4" t="s">
        <v>1450</v>
      </c>
      <c r="I8" s="4" t="s">
        <v>1444</v>
      </c>
      <c r="J8" s="4" t="s">
        <v>18</v>
      </c>
    </row>
    <row r="9" ht="15" customHeight="1" spans="1:10">
      <c r="A9" s="4" t="s">
        <v>1451</v>
      </c>
      <c r="B9" s="4" t="s">
        <v>1452</v>
      </c>
      <c r="C9" s="4" t="s">
        <v>1453</v>
      </c>
      <c r="D9" s="4" t="s">
        <v>1454</v>
      </c>
      <c r="E9" s="4" t="s">
        <v>681</v>
      </c>
      <c r="F9" s="4" t="s">
        <v>1455</v>
      </c>
      <c r="G9" s="4" t="s">
        <v>1456</v>
      </c>
      <c r="H9" s="4" t="s">
        <v>1457</v>
      </c>
      <c r="I9" s="4" t="s">
        <v>1458</v>
      </c>
      <c r="J9" s="4" t="s">
        <v>18</v>
      </c>
    </row>
    <row r="10" ht="26.4" customHeight="1" spans="1:10">
      <c r="A10" s="4" t="s">
        <v>1459</v>
      </c>
      <c r="B10" s="4" t="s">
        <v>1460</v>
      </c>
      <c r="C10" s="4" t="s">
        <v>1461</v>
      </c>
      <c r="D10" s="4" t="s">
        <v>502</v>
      </c>
      <c r="E10" s="4" t="s">
        <v>735</v>
      </c>
      <c r="F10" s="4" t="s">
        <v>1462</v>
      </c>
      <c r="G10" s="4" t="s">
        <v>1463</v>
      </c>
      <c r="H10" s="4" t="s">
        <v>1464</v>
      </c>
      <c r="I10" s="4" t="s">
        <v>1436</v>
      </c>
      <c r="J10" s="4" t="s">
        <v>18</v>
      </c>
    </row>
    <row r="11" ht="26.4" customHeight="1" spans="1:10">
      <c r="A11" s="4" t="s">
        <v>1465</v>
      </c>
      <c r="B11" s="4" t="s">
        <v>1466</v>
      </c>
      <c r="C11" s="4" t="s">
        <v>1467</v>
      </c>
      <c r="D11" s="4" t="s">
        <v>1468</v>
      </c>
      <c r="E11" s="4" t="s">
        <v>1346</v>
      </c>
      <c r="F11" s="4" t="s">
        <v>1469</v>
      </c>
      <c r="G11" s="4" t="s">
        <v>1470</v>
      </c>
      <c r="H11" s="4" t="s">
        <v>1471</v>
      </c>
      <c r="I11" s="4" t="s">
        <v>1472</v>
      </c>
      <c r="J11" s="4" t="s">
        <v>18</v>
      </c>
    </row>
    <row r="12" ht="15" customHeight="1" spans="1:10">
      <c r="A12" s="4" t="s">
        <v>1473</v>
      </c>
      <c r="B12" s="4" t="s">
        <v>1474</v>
      </c>
      <c r="C12" s="4" t="s">
        <v>1475</v>
      </c>
      <c r="D12" s="4" t="s">
        <v>1476</v>
      </c>
      <c r="E12" s="4" t="s">
        <v>766</v>
      </c>
      <c r="F12" s="4" t="s">
        <v>1477</v>
      </c>
      <c r="G12" s="4" t="s">
        <v>1478</v>
      </c>
      <c r="H12" s="4" t="s">
        <v>1479</v>
      </c>
      <c r="I12" s="4" t="s">
        <v>1480</v>
      </c>
      <c r="J12" s="4" t="s">
        <v>18</v>
      </c>
    </row>
    <row r="13" ht="15" customHeight="1" spans="1:10">
      <c r="A13" s="4" t="s">
        <v>1481</v>
      </c>
      <c r="B13" s="4" t="s">
        <v>1482</v>
      </c>
      <c r="C13" s="4" t="s">
        <v>1467</v>
      </c>
      <c r="D13" s="4" t="s">
        <v>1483</v>
      </c>
      <c r="E13" s="4" t="s">
        <v>710</v>
      </c>
      <c r="F13" s="4" t="s">
        <v>1484</v>
      </c>
      <c r="G13" s="4" t="s">
        <v>1485</v>
      </c>
      <c r="H13" s="4" t="s">
        <v>1486</v>
      </c>
      <c r="I13" s="4" t="s">
        <v>1467</v>
      </c>
      <c r="J13" s="4" t="s">
        <v>18</v>
      </c>
    </row>
    <row r="14" ht="15" customHeight="1" spans="1:10">
      <c r="A14" s="4" t="s">
        <v>1487</v>
      </c>
      <c r="B14" s="4" t="s">
        <v>1488</v>
      </c>
      <c r="C14" s="4" t="s">
        <v>1453</v>
      </c>
      <c r="D14" s="4" t="s">
        <v>1489</v>
      </c>
      <c r="E14" s="4" t="s">
        <v>714</v>
      </c>
      <c r="F14" s="4" t="s">
        <v>1490</v>
      </c>
      <c r="G14" s="4" t="s">
        <v>1491</v>
      </c>
      <c r="H14" s="4" t="s">
        <v>1492</v>
      </c>
      <c r="I14" s="4" t="s">
        <v>1493</v>
      </c>
      <c r="J14" s="4" t="s">
        <v>18</v>
      </c>
    </row>
    <row r="15" ht="15" customHeight="1" spans="1:10">
      <c r="A15" s="4" t="s">
        <v>1494</v>
      </c>
      <c r="B15" s="4" t="s">
        <v>1495</v>
      </c>
      <c r="C15" s="4" t="s">
        <v>1374</v>
      </c>
      <c r="D15" s="4" t="s">
        <v>1496</v>
      </c>
      <c r="E15" s="4" t="s">
        <v>1497</v>
      </c>
      <c r="F15" s="4" t="s">
        <v>1498</v>
      </c>
      <c r="G15" s="4" t="s">
        <v>1499</v>
      </c>
      <c r="H15" s="4" t="s">
        <v>1500</v>
      </c>
      <c r="I15" s="4" t="s">
        <v>1436</v>
      </c>
      <c r="J15" s="4" t="s">
        <v>18</v>
      </c>
    </row>
  </sheetData>
  <mergeCells count="2">
    <mergeCell ref="A1:J1"/>
    <mergeCell ref="A2:J2"/>
  </mergeCells>
  <conditionalFormatting sqref="J5:J15">
    <cfRule type="expression" dxfId="4" priority="1">
      <formula>J5="完成"</formula>
    </cfRule>
    <cfRule type="expression" dxfId="5" priority="2">
      <formula>J5="进行中"</formula>
    </cfRule>
    <cfRule type="expression" dxfId="6" priority="3">
      <formula>J5="延期"</formula>
    </cfRule>
  </conditionalFormatting>
  <dataValidations count="1">
    <dataValidation type="list" sqref="J5:J15">
      <formula1>"未开始,进行中,完成,延期"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A1" sqref="A1:I1"/>
    </sheetView>
  </sheetViews>
  <sheetFormatPr defaultColWidth="9" defaultRowHeight="16.8"/>
  <cols>
    <col min="1" max="1" width="14" customWidth="1"/>
    <col min="2" max="2" width="22" customWidth="1"/>
    <col min="3" max="3" width="12" customWidth="1"/>
    <col min="4" max="4" width="30" customWidth="1"/>
    <col min="5" max="6" width="32" customWidth="1"/>
    <col min="7" max="7" width="28" customWidth="1"/>
    <col min="8" max="8" width="34" customWidth="1"/>
    <col min="9" max="9" width="20" customWidth="1"/>
  </cols>
  <sheetData>
    <row r="1" ht="28" customHeight="1" spans="1:9">
      <c r="A1" s="1" t="s">
        <v>1501</v>
      </c>
      <c r="B1" s="1"/>
      <c r="C1" s="1"/>
      <c r="D1" s="1"/>
      <c r="E1" s="1"/>
      <c r="F1" s="1"/>
      <c r="G1" s="1"/>
      <c r="H1" s="1"/>
      <c r="I1" s="1"/>
    </row>
    <row r="2" ht="15" customHeight="1" spans="1:9">
      <c r="A2" s="2" t="s">
        <v>1502</v>
      </c>
      <c r="B2" s="2"/>
      <c r="C2" s="2"/>
      <c r="D2" s="2"/>
      <c r="E2" s="2"/>
      <c r="F2" s="2"/>
      <c r="G2" s="2"/>
      <c r="H2" s="2"/>
      <c r="I2" s="2"/>
    </row>
    <row r="4" ht="15" customHeight="1" spans="1:9">
      <c r="A4" s="3" t="s">
        <v>1503</v>
      </c>
      <c r="B4" s="3" t="s">
        <v>1504</v>
      </c>
      <c r="C4" s="3" t="s">
        <v>1068</v>
      </c>
      <c r="D4" s="3" t="s">
        <v>1505</v>
      </c>
      <c r="E4" s="3" t="s">
        <v>1506</v>
      </c>
      <c r="F4" s="3" t="s">
        <v>1507</v>
      </c>
      <c r="G4" s="3" t="s">
        <v>1508</v>
      </c>
      <c r="H4" s="3" t="s">
        <v>1509</v>
      </c>
      <c r="I4" s="3" t="s">
        <v>1510</v>
      </c>
    </row>
    <row r="5" ht="15" customHeight="1" spans="1:9">
      <c r="A5" s="4" t="s">
        <v>1511</v>
      </c>
      <c r="B5" s="4" t="s">
        <v>646</v>
      </c>
      <c r="C5" s="4" t="s">
        <v>642</v>
      </c>
      <c r="D5" s="4" t="s">
        <v>1512</v>
      </c>
      <c r="E5" s="4" t="s">
        <v>1513</v>
      </c>
      <c r="F5" s="4" t="s">
        <v>1514</v>
      </c>
      <c r="G5" s="4" t="s">
        <v>1515</v>
      </c>
      <c r="H5" s="4" t="s">
        <v>1516</v>
      </c>
      <c r="I5" s="4" t="s">
        <v>1517</v>
      </c>
    </row>
    <row r="6" ht="15" customHeight="1" spans="1:9">
      <c r="A6" s="4" t="s">
        <v>1511</v>
      </c>
      <c r="B6" s="4" t="s">
        <v>1518</v>
      </c>
      <c r="C6" s="4" t="s">
        <v>642</v>
      </c>
      <c r="D6" s="4" t="s">
        <v>1519</v>
      </c>
      <c r="E6" s="4" t="s">
        <v>1520</v>
      </c>
      <c r="F6" s="4" t="s">
        <v>1521</v>
      </c>
      <c r="G6" s="4" t="s">
        <v>1522</v>
      </c>
      <c r="H6" s="4" t="s">
        <v>1523</v>
      </c>
      <c r="I6" s="4" t="s">
        <v>1524</v>
      </c>
    </row>
    <row r="7" ht="26.4" customHeight="1" spans="1:9">
      <c r="A7" s="4" t="s">
        <v>665</v>
      </c>
      <c r="B7" s="4" t="s">
        <v>1525</v>
      </c>
      <c r="C7" s="4" t="s">
        <v>642</v>
      </c>
      <c r="D7" s="4" t="s">
        <v>1526</v>
      </c>
      <c r="E7" s="4" t="s">
        <v>1527</v>
      </c>
      <c r="F7" s="4" t="s">
        <v>1528</v>
      </c>
      <c r="G7" s="4" t="s">
        <v>1529</v>
      </c>
      <c r="H7" s="4" t="s">
        <v>1530</v>
      </c>
      <c r="I7" s="4" t="s">
        <v>1531</v>
      </c>
    </row>
    <row r="8" ht="15" customHeight="1" spans="1:9">
      <c r="A8" s="4" t="s">
        <v>665</v>
      </c>
      <c r="B8" s="4" t="s">
        <v>1532</v>
      </c>
      <c r="C8" s="4" t="s">
        <v>671</v>
      </c>
      <c r="D8" s="4" t="s">
        <v>1533</v>
      </c>
      <c r="E8" s="4" t="s">
        <v>1534</v>
      </c>
      <c r="F8" s="4" t="s">
        <v>1535</v>
      </c>
      <c r="G8" s="4" t="s">
        <v>1536</v>
      </c>
      <c r="H8" s="4" t="s">
        <v>1537</v>
      </c>
      <c r="I8" s="4" t="s">
        <v>1538</v>
      </c>
    </row>
    <row r="9" ht="15" customHeight="1" spans="1:9">
      <c r="A9" s="4" t="s">
        <v>665</v>
      </c>
      <c r="B9" s="4" t="s">
        <v>1539</v>
      </c>
      <c r="C9" s="4" t="s">
        <v>642</v>
      </c>
      <c r="D9" s="4" t="s">
        <v>1540</v>
      </c>
      <c r="E9" s="4" t="s">
        <v>1541</v>
      </c>
      <c r="F9" s="4" t="s">
        <v>1542</v>
      </c>
      <c r="G9" s="4" t="s">
        <v>1543</v>
      </c>
      <c r="H9" s="4" t="s">
        <v>1544</v>
      </c>
      <c r="I9" s="4" t="s">
        <v>1545</v>
      </c>
    </row>
    <row r="10" ht="15" customHeight="1" spans="1:9">
      <c r="A10" s="4" t="s">
        <v>676</v>
      </c>
      <c r="B10" s="4" t="s">
        <v>1546</v>
      </c>
      <c r="C10" s="4" t="s">
        <v>642</v>
      </c>
      <c r="D10" s="4" t="s">
        <v>1547</v>
      </c>
      <c r="E10" s="4" t="s">
        <v>1548</v>
      </c>
      <c r="F10" s="4" t="s">
        <v>1549</v>
      </c>
      <c r="G10" s="4" t="s">
        <v>1550</v>
      </c>
      <c r="H10" s="4" t="s">
        <v>1551</v>
      </c>
      <c r="I10" s="4" t="s">
        <v>1552</v>
      </c>
    </row>
    <row r="11" ht="15" customHeight="1" spans="1:9">
      <c r="A11" s="4" t="s">
        <v>676</v>
      </c>
      <c r="B11" s="4" t="s">
        <v>1553</v>
      </c>
      <c r="C11" s="4" t="s">
        <v>642</v>
      </c>
      <c r="D11" s="4" t="s">
        <v>1554</v>
      </c>
      <c r="E11" s="4" t="s">
        <v>1555</v>
      </c>
      <c r="F11" s="4" t="s">
        <v>1556</v>
      </c>
      <c r="G11" s="4" t="s">
        <v>1557</v>
      </c>
      <c r="H11" s="4" t="s">
        <v>1558</v>
      </c>
      <c r="I11" s="4" t="s">
        <v>679</v>
      </c>
    </row>
    <row r="12" ht="26.4" customHeight="1" spans="1:9">
      <c r="A12" s="4" t="s">
        <v>676</v>
      </c>
      <c r="B12" s="4" t="s">
        <v>1559</v>
      </c>
      <c r="C12" s="4" t="s">
        <v>671</v>
      </c>
      <c r="D12" s="4" t="s">
        <v>1560</v>
      </c>
      <c r="E12" s="4" t="s">
        <v>1561</v>
      </c>
      <c r="F12" s="4" t="s">
        <v>1562</v>
      </c>
      <c r="G12" s="4" t="s">
        <v>1468</v>
      </c>
      <c r="H12" s="4" t="s">
        <v>1563</v>
      </c>
      <c r="I12" s="4" t="s">
        <v>1564</v>
      </c>
    </row>
    <row r="13" ht="26.4" customHeight="1" spans="1:9">
      <c r="A13" s="4" t="s">
        <v>676</v>
      </c>
      <c r="B13" s="4" t="s">
        <v>695</v>
      </c>
      <c r="C13" s="4" t="s">
        <v>671</v>
      </c>
      <c r="D13" s="4" t="s">
        <v>1565</v>
      </c>
      <c r="E13" s="4" t="s">
        <v>1566</v>
      </c>
      <c r="F13" s="4" t="s">
        <v>1567</v>
      </c>
      <c r="G13" s="4" t="s">
        <v>1568</v>
      </c>
      <c r="H13" s="4" t="s">
        <v>1569</v>
      </c>
      <c r="I13" s="4" t="s">
        <v>1570</v>
      </c>
    </row>
    <row r="14" ht="15" customHeight="1" spans="1:9">
      <c r="A14" s="4" t="s">
        <v>700</v>
      </c>
      <c r="B14" s="4" t="s">
        <v>1350</v>
      </c>
      <c r="C14" s="4" t="s">
        <v>642</v>
      </c>
      <c r="D14" s="4" t="s">
        <v>1571</v>
      </c>
      <c r="E14" s="4" t="s">
        <v>1572</v>
      </c>
      <c r="F14" s="4" t="s">
        <v>1573</v>
      </c>
      <c r="G14" s="4" t="s">
        <v>1574</v>
      </c>
      <c r="H14" s="4" t="s">
        <v>1575</v>
      </c>
      <c r="I14" s="4" t="s">
        <v>1576</v>
      </c>
    </row>
    <row r="15" ht="15" customHeight="1" spans="1:9">
      <c r="A15" s="4" t="s">
        <v>700</v>
      </c>
      <c r="B15" s="4" t="s">
        <v>1577</v>
      </c>
      <c r="C15" s="4" t="s">
        <v>671</v>
      </c>
      <c r="D15" s="4" t="s">
        <v>1578</v>
      </c>
      <c r="E15" s="4" t="s">
        <v>1579</v>
      </c>
      <c r="F15" s="4" t="s">
        <v>1580</v>
      </c>
      <c r="G15" s="4" t="s">
        <v>1574</v>
      </c>
      <c r="H15" s="4" t="s">
        <v>1581</v>
      </c>
      <c r="I15" s="4" t="s">
        <v>707</v>
      </c>
    </row>
    <row r="16" ht="15" customHeight="1" spans="1:9">
      <c r="A16" s="4" t="s">
        <v>700</v>
      </c>
      <c r="B16" s="4" t="s">
        <v>379</v>
      </c>
      <c r="C16" s="4" t="s">
        <v>671</v>
      </c>
      <c r="D16" s="4" t="s">
        <v>712</v>
      </c>
      <c r="E16" s="4" t="s">
        <v>1582</v>
      </c>
      <c r="F16" s="4" t="s">
        <v>1583</v>
      </c>
      <c r="G16" s="4" t="s">
        <v>1574</v>
      </c>
      <c r="H16" s="4" t="s">
        <v>1584</v>
      </c>
      <c r="I16" s="4" t="s">
        <v>1585</v>
      </c>
    </row>
    <row r="17" ht="15" customHeight="1" spans="1:9">
      <c r="A17" s="4" t="s">
        <v>700</v>
      </c>
      <c r="B17" s="4" t="s">
        <v>715</v>
      </c>
      <c r="C17" s="4" t="s">
        <v>671</v>
      </c>
      <c r="D17" s="4" t="s">
        <v>1586</v>
      </c>
      <c r="E17" s="4" t="s">
        <v>1587</v>
      </c>
      <c r="F17" s="4" t="s">
        <v>1588</v>
      </c>
      <c r="G17" s="4" t="s">
        <v>1574</v>
      </c>
      <c r="H17" s="4" t="s">
        <v>1589</v>
      </c>
      <c r="I17" s="4" t="s">
        <v>1590</v>
      </c>
    </row>
    <row r="18" ht="15" customHeight="1" spans="1:9">
      <c r="A18" s="4" t="s">
        <v>700</v>
      </c>
      <c r="B18" s="4" t="s">
        <v>1361</v>
      </c>
      <c r="C18" s="4" t="s">
        <v>671</v>
      </c>
      <c r="D18" s="4" t="s">
        <v>1591</v>
      </c>
      <c r="E18" s="4" t="s">
        <v>1592</v>
      </c>
      <c r="F18" s="4" t="s">
        <v>1593</v>
      </c>
      <c r="G18" s="4" t="s">
        <v>1574</v>
      </c>
      <c r="H18" s="4" t="s">
        <v>1594</v>
      </c>
      <c r="I18" s="4" t="s">
        <v>1595</v>
      </c>
    </row>
    <row r="19" ht="15" customHeight="1" spans="1:9">
      <c r="A19" s="4" t="s">
        <v>775</v>
      </c>
      <c r="B19" s="4" t="s">
        <v>1596</v>
      </c>
      <c r="C19" s="4" t="s">
        <v>642</v>
      </c>
      <c r="D19" s="4" t="s">
        <v>1597</v>
      </c>
      <c r="E19" s="4" t="s">
        <v>1598</v>
      </c>
      <c r="F19" s="4" t="s">
        <v>1599</v>
      </c>
      <c r="G19" s="4" t="s">
        <v>1600</v>
      </c>
      <c r="H19" s="4" t="s">
        <v>1601</v>
      </c>
      <c r="I19" s="4" t="s">
        <v>1602</v>
      </c>
    </row>
    <row r="20" ht="15" customHeight="1" spans="1:9">
      <c r="A20" s="4" t="s">
        <v>775</v>
      </c>
      <c r="B20" s="4" t="s">
        <v>720</v>
      </c>
      <c r="C20" s="4" t="s">
        <v>642</v>
      </c>
      <c r="D20" s="4" t="s">
        <v>1603</v>
      </c>
      <c r="E20" s="4" t="s">
        <v>1604</v>
      </c>
      <c r="F20" s="4" t="s">
        <v>1605</v>
      </c>
      <c r="G20" s="4" t="s">
        <v>1606</v>
      </c>
      <c r="H20" s="4" t="s">
        <v>1607</v>
      </c>
      <c r="I20" s="4" t="s">
        <v>1608</v>
      </c>
    </row>
    <row r="21" ht="26.4" customHeight="1" spans="1:9">
      <c r="A21" s="4" t="s">
        <v>775</v>
      </c>
      <c r="B21" s="4" t="s">
        <v>1609</v>
      </c>
      <c r="C21" s="4" t="s">
        <v>671</v>
      </c>
      <c r="D21" s="4" t="s">
        <v>1610</v>
      </c>
      <c r="E21" s="4" t="s">
        <v>1611</v>
      </c>
      <c r="F21" s="4" t="s">
        <v>1612</v>
      </c>
      <c r="G21" s="4" t="s">
        <v>1288</v>
      </c>
      <c r="H21" s="4" t="s">
        <v>1613</v>
      </c>
      <c r="I21" s="4" t="s">
        <v>1614</v>
      </c>
    </row>
    <row r="22" ht="15" customHeight="1" spans="1:9">
      <c r="A22" s="4" t="s">
        <v>502</v>
      </c>
      <c r="B22" s="4" t="s">
        <v>1615</v>
      </c>
      <c r="C22" s="4" t="s">
        <v>671</v>
      </c>
      <c r="D22" s="4" t="s">
        <v>1616</v>
      </c>
      <c r="E22" s="4" t="s">
        <v>1617</v>
      </c>
      <c r="F22" s="4" t="s">
        <v>1618</v>
      </c>
      <c r="G22" s="4" t="s">
        <v>1619</v>
      </c>
      <c r="H22" s="4" t="s">
        <v>1620</v>
      </c>
      <c r="I22" s="4" t="s">
        <v>1621</v>
      </c>
    </row>
    <row r="23" ht="15" customHeight="1" spans="1:9">
      <c r="A23" s="4" t="s">
        <v>749</v>
      </c>
      <c r="B23" s="4" t="s">
        <v>1622</v>
      </c>
      <c r="C23" s="4" t="s">
        <v>642</v>
      </c>
      <c r="D23" s="4" t="s">
        <v>1623</v>
      </c>
      <c r="E23" s="4" t="s">
        <v>1624</v>
      </c>
      <c r="F23" s="4" t="s">
        <v>1625</v>
      </c>
      <c r="G23" s="4" t="s">
        <v>1288</v>
      </c>
      <c r="H23" s="4" t="s">
        <v>1626</v>
      </c>
      <c r="I23" s="4" t="s">
        <v>1295</v>
      </c>
    </row>
  </sheetData>
  <mergeCells count="2">
    <mergeCell ref="A1:I1"/>
    <mergeCell ref="A2:I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首页_总览</vt:lpstr>
      <vt:lpstr>每日计划</vt:lpstr>
      <vt:lpstr>周计划</vt:lpstr>
      <vt:lpstr>知识地图</vt:lpstr>
      <vt:lpstr>项目与毕业标准</vt:lpstr>
      <vt:lpstr>课程索引</vt:lpstr>
      <vt:lpstr>每日节奏</vt:lpstr>
      <vt:lpstr>求职与面试</vt:lpstr>
      <vt:lpstr>岗位需求依据</vt:lpstr>
      <vt:lpstr>V2_资源库</vt:lpstr>
      <vt:lpstr>V2_项目Review</vt:lpstr>
      <vt:lpstr>V2.1_八斗融合评估</vt:lpstr>
      <vt:lpstr>V2.1_项目映射</vt:lpstr>
      <vt:lpstr>V2.1_能力验收矩阵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sunhongfei</cp:lastModifiedBy>
  <dcterms:created xsi:type="dcterms:W3CDTF">2026-09-24T11:33:29Z</dcterms:created>
  <dcterms:modified xsi:type="dcterms:W3CDTF">2026-09-24T12:32:15Z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9CB1E59132C2F9A71CA1B46AD83A86BE_42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